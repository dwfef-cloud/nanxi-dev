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执行统计" sheetId="1" r:id="rId3"/>
    <sheet name="测试用例" sheetId="2" r:id="rId4"/>
    <sheet name="说明" sheetId="3" r:id="rId5"/>
  </sheets>
  <definedNames>
    <definedName name="_xlnm._FilterDatabase" localSheetId="1" hidden="1">测试用例!$A$1:$N$131</definedName>
  </definedNames>
  <calcPr calcId="124519" fullCalcOnLoad="1"/>
</workbook>
</file>

<file path=xl/sharedStrings.xml><?xml version="1.0" encoding="utf-8"?>
<sst xmlns="http://schemas.openxmlformats.org/spreadsheetml/2006/main" count="547" uniqueCount="547">
  <si>
    <t/>
  </si>
  <si>
    <r>
      <t>获客系统 · 测试用例执行统计</t>
    </r>
  </si>
  <si>
    <r>
      <t>总用例数</t>
    </r>
  </si>
  <si>
    <r>
      <t>P0 数量</t>
    </r>
  </si>
  <si>
    <r>
      <t>P1 数量</t>
    </r>
  </si>
  <si>
    <r>
      <t>P2 数量</t>
    </r>
  </si>
  <si>
    <r>
      <t>通过</t>
    </r>
  </si>
  <si>
    <r>
      <t>失败</t>
    </r>
  </si>
  <si>
    <r>
      <t>阻塞</t>
    </r>
  </si>
  <si>
    <r>
      <t>未执行</t>
    </r>
  </si>
  <si>
    <r>
      <t>通过率</t>
    </r>
  </si>
  <si>
    <r>
      <t>模块分布</t>
    </r>
  </si>
  <si>
    <r>
      <t>模块</t>
    </r>
  </si>
  <si>
    <r>
      <t>用例数</t>
    </r>
  </si>
  <si>
    <r>
      <t>合计</t>
    </r>
  </si>
  <si>
    <r>
      <t>序号</t>
    </r>
  </si>
  <si>
    <r>
      <t>用例编号</t>
    </r>
  </si>
  <si>
    <r>
      <t>标题</t>
    </r>
  </si>
  <si>
    <r>
      <t>优先级</t>
    </r>
  </si>
  <si>
    <r>
      <t>类型</t>
    </r>
  </si>
  <si>
    <r>
      <t>标记</t>
    </r>
  </si>
  <si>
    <r>
      <t>前置条件</t>
    </r>
  </si>
  <si>
    <r>
      <t>测试步骤</t>
    </r>
  </si>
  <si>
    <r>
      <t>预期结果</t>
    </r>
  </si>
  <si>
    <r>
      <t>执行结果</t>
    </r>
  </si>
  <si>
    <r>
      <t>实际现象</t>
    </r>
  </si>
  <si>
    <r>
      <t>执行人</t>
    </r>
  </si>
  <si>
    <r>
      <t>执行日期</t>
    </r>
  </si>
  <si>
    <r>
      <t>TC-ENV-001</t>
    </r>
  </si>
  <si>
    <r>
      <t>三服务端口就绪</t>
    </r>
  </si>
  <si>
    <r>
      <t>P0</t>
    </r>
  </si>
  <si>
    <r>
      <t>UI</t>
    </r>
  </si>
  <si>
    <r>
      <t>按 1.1 启动</t>
    </r>
  </si>
  <si>
    <r>
      <t>1. 打开前端首页，地址栏 `#/workbench`
2. 调用 `/api/onboarding/readiness`</t>
    </r>
  </si>
  <si>
    <r>
      <t>8000/8081/8090 均 OPEN；readiness `backend.ok=true`、`crawl_service.ok=true`；首页无白屏</t>
    </r>
  </si>
  <si>
    <r>
      <t>TC-ENV-002</t>
    </r>
  </si>
  <si>
    <r>
      <t>未登录态引导</t>
    </r>
  </si>
  <si>
    <r>
      <t>直接访问 `/api/onboarding/readiness`</t>
    </r>
  </si>
  <si>
    <r>
      <t>返回 `douyin_login.ok=false`，`blocking` 含 `"douyin_login"`，`action.type="goto_step"`、`step=2`（去扫码登录）</t>
    </r>
  </si>
  <si>
    <r>
      <t>TC-ENV-003</t>
    </r>
  </si>
  <si>
    <r>
      <t>安全模式横幅</t>
    </r>
  </si>
  <si>
    <r>
      <t>P1</t>
    </r>
  </si>
  <si>
    <r>
      <t>触发安全模式后刷新页面</t>
    </r>
  </si>
  <si>
    <r>
      <t>顶部出现红色 `#safe-mode-banner`，显示原因与「人工确认退出」按钮</t>
    </r>
  </si>
  <si>
    <r>
      <t>TC-ENV-004</t>
    </r>
  </si>
  <si>
    <r>
      <t>顶部状态栏</t>
    </r>
  </si>
  <si>
    <r>
      <t>观察 `#topbar-status`</t>
    </r>
  </si>
  <si>
    <r>
      <t>显示「采集运行中/空闲」pill 与「安全模式：开/关」pill，状态随后端变化</t>
    </r>
  </si>
  <si>
    <r>
      <t>TC-WB-001</t>
    </r>
  </si>
  <si>
    <r>
      <t>工作台加载</t>
    </r>
  </si>
  <si>
    <r>
      <t>漏斗图、北极星指标（`#north-star-value`）、各模块入口卡片正常渲染，Console 无报错</t>
    </r>
  </si>
  <si>
    <r>
      <t>TC-WB-002</t>
    </r>
  </si>
  <si>
    <r>
      <t>北极星指标展示</t>
    </r>
  </si>
  <si>
    <r>
      <t>查看左侧 `#north-star-value`</t>
    </r>
  </si>
  <si>
    <r>
      <t>显示加企微数（默认示例 41）与本周增量</t>
    </r>
  </si>
  <si>
    <r>
      <t>TC-WB-003</t>
    </r>
  </si>
  <si>
    <r>
      <t>一键暂停</t>
    </r>
  </si>
  <si>
    <r>
      <t>点「一键暂停」→ 确认</t>
    </r>
  </si>
  <si>
    <r>
      <t>调用 `POST /compliance/pause`；顶部 pill 变「已暂停」；全部新触达暂停</t>
    </r>
  </si>
  <si>
    <r>
      <t>TC-WB-004</t>
    </r>
  </si>
  <si>
    <r>
      <t>通知中心入口</t>
    </r>
  </si>
  <si>
    <r>
      <t>点铃铛 `#btn-notifications`</t>
    </r>
  </si>
  <si>
    <r>
      <t>展开 `#bell-panel`，显示未读通知；红点 `#bell-badge` 计数正确</t>
    </r>
  </si>
  <si>
    <r>
      <t>TC-WB-005</t>
    </r>
  </si>
  <si>
    <r>
      <t>配置按钮</t>
    </r>
  </si>
  <si>
    <r>
      <t>点「配置」#btn-settings</t>
    </r>
  </si>
  <si>
    <r>
      <t>打开系统设置弹窗/路由</t>
    </r>
  </si>
  <si>
    <r>
      <t>TC-CRAWL-001</t>
    </r>
  </si>
  <si>
    <r>
      <t>未登录跳登录</t>
    </r>
  </si>
  <si>
    <r>
      <t>★近期改动</t>
    </r>
  </si>
  <si>
    <r>
      <t>抖音未登录（`douyin_login.ok=false`）</t>
    </r>
  </si>
  <si>
    <r>
      <t>1. 进入 `#/crawl`
2. 点「启动采集」</t>
    </r>
  </si>
  <si>
    <r>
      <t>弹出黄色 `#crawl-login-banner` 引导横幅；点「去扫码登录」→ 跳转 `#/accounts?tab=wizard&amp;step=login`</t>
    </r>
  </si>
  <si>
    <r>
      <t>TC-CRAWL-002</t>
    </r>
  </si>
  <si>
    <r>
      <t>已登录启动采集</t>
    </r>
  </si>
  <si>
    <r>
      <t>已扫码登录</t>
    </r>
  </si>
  <si>
    <r>
      <t>点「启动采集」填写关键词/视频链接 → 确认</t>
    </r>
  </si>
  <si>
    <r>
      <t>调用 `POST /api/crawler/live/start`；状态轮询 `GET /api/crawler/live/status`；顶部 pill 变「采集运行中」</t>
    </r>
  </si>
  <si>
    <r>
      <t>TC-CRAWL-003</t>
    </r>
  </si>
  <si>
    <r>
      <t>采集状态轮询</t>
    </r>
  </si>
  <si>
    <r>
      <t>采集中点状态区</t>
    </r>
  </si>
  <si>
    <r>
      <t>`live/status` 返回 `running`，可查看 `live/logs`；停止后 `idle`</t>
    </r>
  </si>
  <si>
    <r>
      <t>TC-CRAWL-004</t>
    </r>
  </si>
  <si>
    <r>
      <t>采集任务列表（CrawlTask 体系）</t>
    </r>
  </si>
  <si>
    <r>
      <t>API</t>
    </r>
  </si>
  <si>
    <r>
      <t>`GET /api/crawl/tasks`</t>
    </r>
  </si>
  <si>
    <r>
      <t>返回**顶层数组**（非 `{items}`）；字段含 `id/keyword/status`</t>
    </r>
  </si>
  <si>
    <r>
      <t>TC-CRAWL-005</t>
    </r>
  </si>
  <si>
    <r>
      <t>创建采集任务</t>
    </r>
  </si>
  <si>
    <r>
      <t>`POST /api/crawl/tasks` `{keyword, source}`</t>
    </r>
  </si>
  <si>
    <r>
      <t>201，返回任务对象</t>
    </r>
  </si>
  <si>
    <r>
      <t>TC-CRAWL-006</t>
    </r>
  </si>
  <si>
    <r>
      <t>启动/停止任务</t>
    </r>
  </si>
  <si>
    <r>
      <t>`POST /api/crawl/tasks/{id}/start` 与 `/stop`</t>
    </r>
  </si>
  <si>
    <r>
      <t>状态在 `pending→running→stopped` 间流转；`GET /tasks/{id}/status` 一致</t>
    </r>
  </si>
  <si>
    <r>
      <t>TC-CRAWL-007</t>
    </r>
  </si>
  <si>
    <r>
      <t>导入采集结果</t>
    </r>
  </si>
  <si>
    <r>
      <t>`POST /api/crawl/import`</t>
    </r>
  </si>
  <si>
    <r>
      <t>外部数据写入 leads/comments 库，返回导入条数</t>
    </r>
  </si>
  <si>
    <r>
      <t>TC-CRAWL-008</t>
    </r>
  </si>
  <si>
    <r>
      <t>采集服务启停</t>
    </r>
  </si>
  <si>
    <r>
      <t>`GET /api/crawler/service` → `POST /service/start` → `POST /service/stop`</t>
    </r>
  </si>
  <si>
    <r>
      <t>service 状态 `idle/running` 切换；8090 可达性随之变化</t>
    </r>
  </si>
  <si>
    <r>
      <t>TC-CRAWL-009</t>
    </r>
  </si>
  <si>
    <r>
      <t>子评论开关</t>
    </r>
  </si>
  <si>
    <r>
      <t>P2</t>
    </r>
  </si>
  <si>
    <r>
      <t>`enable_sub_comments` 未传</t>
    </r>
  </si>
  <si>
    <r>
      <t>创建任务不传 `enable_sub_comments`</t>
    </r>
  </si>
  <si>
    <r>
      <t>后端默认置 `False`（回复检测依赖子评论，需显式开启）</t>
    </r>
  </si>
  <si>
    <r>
      <t>TC-CRAWL-010</t>
    </r>
  </si>
  <si>
    <r>
      <t>demo/文件导入</t>
    </r>
  </si>
  <si>
    <r>
      <t>`POST /api/crawler/import-demo`、`POST /api/crawler/import-file`</t>
    </r>
  </si>
  <si>
    <r>
      <t>分别导入演示数据/本地文件，返回任务</t>
    </r>
  </si>
  <si>
    <r>
      <t>TC-CG-001</t>
    </r>
  </si>
  <si>
    <r>
      <t>候选池加载</t>
    </r>
  </si>
  <si>
    <r>
      <t>存在 own_comment 且有原文+地址可用的 lead</t>
    </r>
  </si>
  <si>
    <r>
      <t>进入 `#/comment-growth`</t>
    </r>
  </si>
  <si>
    <r>
      <t>候选池读 `leads`（own_comment+原文+地址可用+未建任务），非 `comment_tasks`</t>
    </r>
  </si>
  <si>
    <r>
      <t>TC-CG-002</t>
    </r>
  </si>
  <si>
    <r>
      <t>确认回复真发抖音</t>
    </r>
  </si>
  <si>
    <r>
      <t>★关键设计</t>
    </r>
  </si>
  <si>
    <r>
      <t>选评论 → 写回复 → 「确认回复」</t>
    </r>
  </si>
  <si>
    <r>
      <t>走唯一出口 `runSend(payload, confirm)`；经 9222 浏览器自动化真实发送；发送前若地址全不可用即时 400</t>
    </r>
  </si>
  <si>
    <r>
      <t>TC-CG-003</t>
    </r>
  </si>
  <si>
    <r>
      <t>地址兜底</t>
    </r>
  </si>
  <si>
    <r>
      <t>lead 缺 `source_url` 时检查</t>
    </r>
  </si>
  <si>
    <r>
      <t>`app/core/douyin_url.py::usable_video_url` 统一判定兜底；全部不可用则发送拦截</t>
    </r>
  </si>
  <si>
    <r>
      <t>TC-CG-004</t>
    </r>
  </si>
  <si>
    <r>
      <t>评论执行预览</t>
    </r>
  </si>
  <si>
    <r>
      <t>构造 `{match, author, text}`</t>
    </r>
  </si>
  <si>
    <r>
      <t>`POST /api/comments/execute` `confirm=false`</t>
    </r>
  </si>
  <si>
    <r>
      <t>返回预览（不真发）；响应结构 `CommentExecutionResponse(**{**fields,**result})` 不重名</t>
    </r>
  </si>
  <si>
    <r>
      <t>TC-CG-005</t>
    </r>
  </si>
  <si>
    <r>
      <t>评论执行真发</t>
    </r>
  </si>
  <si>
    <r>
      <t>`POST /api/comments/execute` `confirm=true`</t>
    </r>
  </si>
  <si>
    <r>
      <t>真发成功；缺 `match+author` 时直接 400；命中 0 或多条时停手不发送</t>
    </r>
  </si>
  <si>
    <r>
      <t>TC-CG-006</t>
    </r>
  </si>
  <si>
    <r>
      <t>代理状态查询</t>
    </r>
  </si>
  <si>
    <r>
      <t>`GET /api/comments/agent/status`</t>
    </r>
  </si>
  <si>
    <r>
      <t>返回浏览器代理在线状态（区分 CrawlAPI.getTaskStatus 另一套）</t>
    </r>
  </si>
  <si>
    <r>
      <t>TC-CG-007</t>
    </r>
  </si>
  <si>
    <r>
      <t>浏览器手动启动</t>
    </r>
  </si>
  <si>
    <r>
      <t>`POST /api/comments/agent/browser/start`</t>
    </r>
  </si>
  <si>
    <r>
      <t>拉起 9222 Chrome 供发送</t>
    </r>
  </si>
  <si>
    <r>
      <t>TC-CG-008</t>
    </r>
  </si>
  <si>
    <r>
      <t>选评论脚本</t>
    </r>
  </si>
  <si>
    <r>
      <t>`GET /api/scripts/comment/pick`</t>
    </r>
  </si>
  <si>
    <r>
      <t>返回可回复的评论候选</t>
    </r>
  </si>
  <si>
    <r>
      <t>TC-INT-001</t>
    </r>
  </si>
  <si>
    <r>
      <t>互动队列加载</t>
    </r>
  </si>
  <si>
    <r>
      <t>进入 `#/interact`</t>
    </r>
  </si>
  <si>
    <r>
      <t>`GET /api/dm/inbox` 或 behavior 数据渲染；徽标 `#nav-interact-badge` 计数正确</t>
    </r>
  </si>
  <si>
    <r>
      <t>TC-INT-002</t>
    </r>
  </si>
  <si>
    <r>
      <t>回复互动</t>
    </r>
  </si>
  <si>
    <r>
      <t>选一条 → 回复</t>
    </r>
  </si>
  <si>
    <r>
      <t>走 `dm_inbox` 回复接口，前端提示「私信发送为模拟（mock）」</t>
    </r>
  </si>
  <si>
    <r>
      <t>TC-INT-003</t>
    </r>
  </si>
  <si>
    <r>
      <t>标记加企微</t>
    </r>
  </si>
  <si>
    <r>
      <t>`POST /api/dm/inbox/{id}/mark-wechat`</t>
    </r>
  </si>
  <si>
    <r>
      <t>该会话标记「已加企微」，同步客户阶段</t>
    </r>
  </si>
  <si>
    <r>
      <t>TC-INT-004</t>
    </r>
  </si>
  <si>
    <r>
      <t>模拟互动</t>
    </r>
  </si>
  <si>
    <r>
      <t>`POST /api/dm/inbox/simulate`</t>
    </r>
  </si>
  <si>
    <r>
      <t>生成模拟互动数据供演示</t>
    </r>
  </si>
  <si>
    <r>
      <t>TC-INT-005</t>
    </r>
  </si>
  <si>
    <r>
      <t>私信仍为 mock 提示</t>
    </r>
  </si>
  <si>
    <r>
      <t>界面明确标注私信发送是模拟，不真实触达</t>
    </r>
  </si>
  <si>
    <r>
      <t>TC-SCR-001</t>
    </r>
  </si>
  <si>
    <r>
      <t>话术列表</t>
    </r>
  </si>
  <si>
    <r>
      <t>进入 `#/scripts`</t>
    </r>
  </si>
  <si>
    <r>
      <t>展示分类话术（引流/跟进/成交/拒绝应对），可搜索</t>
    </r>
  </si>
  <si>
    <r>
      <t>TC-SCR-002</t>
    </r>
  </si>
  <si>
    <r>
      <t>新建话术</t>
    </r>
  </si>
  <si>
    <r>
      <t>新建 → 填场景+内容 → 保存</t>
    </r>
  </si>
  <si>
    <r>
      <t>落库，列表刷新</t>
    </r>
  </si>
  <si>
    <r>
      <t>TC-SCR-003</t>
    </r>
  </si>
  <si>
    <r>
      <t>话术被引用</t>
    </r>
  </si>
  <si>
    <r>
      <t>在评论获客/客户跟进中调用话术</t>
    </r>
  </si>
  <si>
    <r>
      <t>可一键插入</t>
    </r>
  </si>
  <si>
    <r>
      <t>TC-SCR-004</t>
    </r>
  </si>
  <si>
    <r>
      <t>话术编辑删除</t>
    </r>
  </si>
  <si>
    <r>
      <t>编辑/删除生效，引用处提示失效</t>
    </r>
  </si>
  <si>
    <r>
      <t>TC-ACC-001</t>
    </r>
  </si>
  <si>
    <r>
      <t>账号列表（两 Tab）</t>
    </r>
  </si>
  <si>
    <r>
      <t>进入 `#/accounts`</t>
    </r>
  </si>
  <si>
    <r>
      <t>仅「账号」+「上线向导」两 Tab（已合并）；账号表格全宽（非 720px 居中）</t>
    </r>
  </si>
  <si>
    <r>
      <t>TC-ACC-002</t>
    </r>
  </si>
  <si>
    <r>
      <t>账号字段展示</t>
    </r>
  </si>
  <si>
    <r>
      <t>行含昵称、状态、因子标签（`.acc-factor-tag`），紧凑布局</t>
    </r>
  </si>
  <si>
    <r>
      <t>TC-ACC-003</t>
    </r>
  </si>
  <si>
    <r>
      <t>规则抽屉</t>
    </r>
  </si>
  <si>
    <r>
      <t>点「查看规则」</t>
    </r>
  </si>
  <si>
    <r>
      <t>右侧抽屉 `.acc-rules-drawer` 展示获客规则，非独立页</t>
    </r>
  </si>
  <si>
    <r>
      <t>TC-ACC-004</t>
    </r>
  </si>
  <si>
    <r>
      <t>新建/编辑账号</t>
    </r>
  </si>
  <si>
    <r>
      <t>`POST /api/accounts` / `PATCH /api/accounts/{id}`</t>
    </r>
  </si>
  <si>
    <r>
      <t>返回 `AccountRead`；响应用别名（response_model_by_alias）</t>
    </r>
  </si>
  <si>
    <r>
      <t>TC-ACC-005</t>
    </r>
  </si>
  <si>
    <r>
      <t>上线向导全宽</t>
    </r>
  </si>
  <si>
    <r>
      <t>切到「上线向导」Tab</t>
    </r>
  </si>
  <si>
    <r>
      <t>向导页全宽（`.wizard{max-width:none}`），非小弹窗</t>
    </r>
  </si>
  <si>
    <r>
      <t>TC-ACC-006</t>
    </r>
  </si>
  <si>
    <r>
      <t>业务配置全宽</t>
    </r>
  </si>
  <si>
    <r>
      <t>向导内业务配置步骤</t>
    </r>
  </si>
  <si>
    <r>
      <t>业务配置区全宽；`GET/PUT /api/business/profile` 读写正常</t>
    </r>
  </si>
  <si>
    <r>
      <t>TC-ACC-007</t>
    </r>
  </si>
  <si>
    <r>
      <t>扫码登录唤起抖音</t>
    </r>
  </si>
  <si>
    <r>
      <t>8090 正常、`CDP_CONNECT_EXISTING=False`</t>
    </r>
  </si>
  <si>
    <r>
      <t>向导 → 扫码登录步骤 → 点「打开扫码登录」</t>
    </r>
  </si>
  <si>
    <r>
      <t>MediaCrawler 自动启 Chrome（9222），**浏览器停在抖音扫码页**（非 newtab）；前端轮询 `GET /api/crawler/live/status`（running→idle=成功）</t>
    </r>
  </si>
  <si>
    <r>
      <t>TC-ACC-008</t>
    </r>
  </si>
  <si>
    <r>
      <t>登录后状态持久</t>
    </r>
  </si>
  <si>
    <r>
      <t>手机扫码确认 → 等待</t>
    </r>
  </si>
  <si>
    <r>
      <t>`/api/onboarding/readiness` 的 `douyin_login.ok` 变 true；横幅消失</t>
    </r>
  </si>
  <si>
    <r>
      <t>TC-ACC-009</t>
    </r>
  </si>
  <si>
    <r>
      <t>深层链接直达登录</t>
    </r>
  </si>
  <si>
    <r>
      <t>访问 `#/accounts?tab=wizard&amp;step=login`</t>
    </r>
  </si>
  <si>
    <r>
      <t>直接定位到扫码登录步骤</t>
    </r>
  </si>
  <si>
    <r>
      <t>TC-ACC-010</t>
    </r>
  </si>
  <si>
    <r>
      <t>调度面板绑定</t>
    </r>
  </si>
  <si>
    <r>
      <t>账号绑定调度</t>
    </r>
  </si>
  <si>
    <r>
      <t>`api-scheduler` 绑定生效，定时任务可见</t>
    </r>
  </si>
  <si>
    <r>
      <t>TC-CUS-001</t>
    </r>
  </si>
  <si>
    <r>
      <t>客户列表</t>
    </r>
  </si>
  <si>
    <r>
      <t>进入 `#/customers`</t>
    </r>
  </si>
  <si>
    <r>
      <t>`GET /api/customers` 返回；表格含阶段、来源、加企微时间</t>
    </r>
  </si>
  <si>
    <r>
      <t>TC-CUS-002</t>
    </r>
  </si>
  <si>
    <r>
      <t>客户详情抽屉</t>
    </r>
  </si>
  <si>
    <r>
      <t>点客户行</t>
    </r>
  </si>
  <si>
    <r>
      <t>`#lead-drawer` 弹出，展示资料/互动/阶段日志</t>
    </r>
  </si>
  <si>
    <r>
      <t>TC-CUS-003</t>
    </r>
  </si>
  <si>
    <r>
      <t>新建客户</t>
    </r>
  </si>
  <si>
    <r>
      <t>`POST /api/customers`</t>
    </r>
  </si>
  <si>
    <r>
      <t>201 返回客户</t>
    </r>
  </si>
  <si>
    <r>
      <t>TC-CUS-004</t>
    </r>
  </si>
  <si>
    <r>
      <t>阶段推进</t>
    </r>
  </si>
  <si>
    <r>
      <t>`POST /api/customers/{id}/stage` `{stage}`</t>
    </r>
  </si>
  <si>
    <r>
      <t>阶段变更，漏斗数据更新</t>
    </r>
  </si>
  <si>
    <r>
      <t>TC-CUS-005</t>
    </r>
  </si>
  <si>
    <r>
      <t>成交录入</t>
    </r>
  </si>
  <si>
    <r>
      <t>`POST /api/customers/{id}/deal` `{amount}`</t>
    </r>
  </si>
  <si>
    <r>
      <t>标记成交，金额入 analytics</t>
    </r>
  </si>
  <si>
    <r>
      <t>TC-CUS-006</t>
    </r>
  </si>
  <si>
    <r>
      <t>丢单</t>
    </r>
  </si>
  <si>
    <r>
      <t>`POST /api/customers/{id}/lost`</t>
    </r>
  </si>
  <si>
    <r>
      <t>标记流失，不计入成交</t>
    </r>
  </si>
  <si>
    <r>
      <t>TC-CUS-007</t>
    </r>
  </si>
  <si>
    <r>
      <t>编辑/删除</t>
    </r>
  </si>
  <si>
    <r>
      <t>`PATCH /api/customers/{id}`、`DELETE /api/customers/{id}`</t>
    </r>
  </si>
  <si>
    <r>
      <t>生效；删除后列表消失</t>
    </r>
  </si>
  <si>
    <r>
      <t>TC-CUS-008</t>
    </r>
  </si>
  <si>
    <r>
      <t>客户日志</t>
    </r>
  </si>
  <si>
    <r>
      <t>`GET /api/customers/{id}/logs`</t>
    </r>
  </si>
  <si>
    <r>
      <t>返回阶段/成交/互动时间线</t>
    </r>
  </si>
  <si>
    <r>
      <t>TC-CUS-009</t>
    </r>
  </si>
  <si>
    <r>
      <t>阶段元信息</t>
    </r>
  </si>
  <si>
    <r>
      <t>`GET /api/customers/stage-meta`</t>
    </r>
  </si>
  <si>
    <r>
      <t>返回阶段枚举与定义</t>
    </r>
  </si>
  <si>
    <r>
      <t>TC-CUS-010</t>
    </r>
  </si>
  <si>
    <r>
      <t>列表筛选排序</t>
    </r>
  </si>
  <si>
    <r>
      <t>按阶段/来源/时间筛选，结果正确</t>
    </r>
  </si>
  <si>
    <r>
      <t>TC-FU-001</t>
    </r>
  </si>
  <si>
    <r>
      <t>待跟进列表</t>
    </r>
  </si>
  <si>
    <r>
      <t>进入 `#/followups`</t>
    </r>
  </si>
  <si>
    <r>
      <t>`GET /api/followups` 返回今日待办；徽标 `#nav-fu-badge` 计数</t>
    </r>
  </si>
  <si>
    <r>
      <t>TC-FU-002</t>
    </r>
  </si>
  <si>
    <r>
      <t>新建待跟进</t>
    </r>
  </si>
  <si>
    <r>
      <t>`POST /api/followups`</t>
    </r>
  </si>
  <si>
    <r>
      <t>201 返回</t>
    </r>
  </si>
  <si>
    <r>
      <t>TC-FU-003</t>
    </r>
  </si>
  <si>
    <r>
      <t>完成跟进</t>
    </r>
  </si>
  <si>
    <r>
      <t>标记完成</t>
    </r>
  </si>
  <si>
    <r>
      <t>从列表移除，关联客户阶段更新</t>
    </r>
  </si>
  <si>
    <r>
      <t>TC-FU-004</t>
    </r>
  </si>
  <si>
    <r>
      <t>跳转客户</t>
    </r>
  </si>
  <si>
    <r>
      <t>点待跟进项</t>
    </r>
  </si>
  <si>
    <r>
      <t>跳 `#/customers` 并打开对应详情抽屉</t>
    </r>
  </si>
  <si>
    <r>
      <t>TC-FU-005</t>
    </r>
  </si>
  <si>
    <r>
      <t>提醒时间</t>
    </r>
  </si>
  <si>
    <r>
      <t>临近提醒时间有高亮/通知</t>
    </r>
  </si>
  <si>
    <r>
      <t>TC-ANL-001</t>
    </r>
  </si>
  <si>
    <r>
      <t>报表加载</t>
    </r>
  </si>
  <si>
    <r>
      <t>进入 `#/analytics`</t>
    </r>
  </si>
  <si>
    <r>
      <t>`GET /api/analytics/report` 渲染图表</t>
    </r>
  </si>
  <si>
    <r>
      <t>TC-ANL-002</t>
    </r>
  </si>
  <si>
    <r>
      <t>投放花费录入</t>
    </r>
  </si>
  <si>
    <r>
      <t>`POST /api/analytics/spend` → `GET /api/analytics/spend`</t>
    </r>
  </si>
  <si>
    <r>
      <t>录入并回读</t>
    </r>
  </si>
  <si>
    <r>
      <t>TC-ANL-003</t>
    </r>
  </si>
  <si>
    <r>
      <t>漏斗分析</t>
    </r>
  </si>
  <si>
    <r>
      <t>`GET /api/analytics/funnel`</t>
    </r>
  </si>
  <si>
    <r>
      <t>返回公域→私域→成交漏斗各层数据</t>
    </r>
  </si>
  <si>
    <r>
      <t>TC-ANL-004</t>
    </r>
  </si>
  <si>
    <r>
      <t>多维拆分</t>
    </r>
  </si>
  <si>
    <r>
      <t>`GET /api/analytics/by-account|by-script|by-industry|by-source`</t>
    </r>
  </si>
  <si>
    <r>
      <t>分别按账号/话术/行业/来源拆分</t>
    </r>
  </si>
  <si>
    <r>
      <t>TC-ANL-005</t>
    </r>
  </si>
  <si>
    <r>
      <t>看板接口</t>
    </r>
  </si>
  <si>
    <r>
      <t>`GET /dashboard/funnel|attribution|compliance|runtime`</t>
    </r>
  </si>
  <si>
    <r>
      <t>返回对应聚合数据</t>
    </r>
  </si>
  <si>
    <r>
      <t>TC-ANL-006</t>
    </r>
  </si>
  <si>
    <r>
      <t>数据导出</t>
    </r>
  </si>
  <si>
    <r>
      <t>`GET /api/analytics/export`</t>
    </r>
  </si>
  <si>
    <r>
      <t>返回可导出的数据集/文件</t>
    </r>
  </si>
  <si>
    <r>
      <t>TC-ANL-007</t>
    </r>
  </si>
  <si>
    <r>
      <t>导出线索/客户/成交</t>
    </r>
  </si>
  <si>
    <r>
      <t>`GET /api/export/leads|customers|deals`</t>
    </r>
  </si>
  <si>
    <r>
      <t>分别返回 CSV/JSON 下载</t>
    </r>
  </si>
  <si>
    <r>
      <t>TC-MON-001</t>
    </r>
  </si>
  <si>
    <r>
      <t>监控页加载</t>
    </r>
  </si>
  <si>
    <r>
      <t>进入 `#/monitor`</t>
    </r>
  </si>
  <si>
    <r>
      <t>`api-monitor` 渲染服务健康/资源</t>
    </r>
  </si>
  <si>
    <r>
      <t>TC-MON-002</t>
    </r>
  </si>
  <si>
    <r>
      <t>服务健康</t>
    </r>
  </si>
  <si>
    <r>
      <t>后端/采集服务/前端状态可视化，异常标红</t>
    </r>
  </si>
  <si>
    <r>
      <t>TC-MON-003</t>
    </r>
  </si>
  <si>
    <r>
      <t>运行时指标</t>
    </r>
  </si>
  <si>
    <r>
      <t>`GET /dashboard/runtime`</t>
    </r>
  </si>
  <si>
    <r>
      <t>返回运行时间、任务数、队列长度</t>
    </r>
  </si>
  <si>
    <r>
      <t>TC-MON-004</t>
    </r>
  </si>
  <si>
    <r>
      <t>采集日志</t>
    </r>
  </si>
  <si>
    <r>
      <t>`GET /api/crawler/live/logs`</t>
    </r>
  </si>
  <si>
    <r>
      <t>返回实时采集日志</t>
    </r>
  </si>
  <si>
    <r>
      <t>TC-MON-005</t>
    </r>
  </si>
  <si>
    <r>
      <t>告警展示</t>
    </r>
  </si>
  <si>
    <r>
      <t>异常指标触发告警条</t>
    </r>
  </si>
  <si>
    <r>
      <t>TC-RISK-001</t>
    </r>
  </si>
  <si>
    <r>
      <t>合规页加载</t>
    </r>
  </si>
  <si>
    <r>
      <t>进入 `#/risk`</t>
    </r>
  </si>
  <si>
    <r>
      <t>展示护栏规则、安全模式状态</t>
    </r>
  </si>
  <si>
    <r>
      <t>TC-RISK-002</t>
    </r>
  </si>
  <si>
    <r>
      <t>安全模式进入</t>
    </r>
  </si>
  <si>
    <r>
      <t>`POST /compliance/safe-mode/enter` `{reason}`</t>
    </r>
  </si>
  <si>
    <r>
      <t>全部新触达暂停；前端横幅出现</t>
    </r>
  </si>
  <si>
    <r>
      <t>TC-RISK-003</t>
    </r>
  </si>
  <si>
    <r>
      <t>安全模式退出</t>
    </r>
  </si>
  <si>
    <r>
      <t>`POST /compliance/safe-mode/exit`</t>
    </r>
  </si>
  <si>
    <r>
      <t>恢复触达；横幅消失</t>
    </r>
  </si>
  <si>
    <r>
      <t>TC-RISK-004</t>
    </r>
  </si>
  <si>
    <r>
      <t>一键暂停/恢复</t>
    </r>
  </si>
  <si>
    <r>
      <t>`POST /compliance/pause` / `/resume`</t>
    </r>
  </si>
  <si>
    <r>
      <t>触达暂停/恢复，状态栏同步</t>
    </r>
  </si>
  <si>
    <r>
      <t>TC-RISK-005</t>
    </r>
  </si>
  <si>
    <r>
      <t>评论护栏规则</t>
    </r>
  </si>
  <si>
    <r>
      <t>`GET /api/comments/guard-rules` → `POST` 新增 → `PATCH` 启用</t>
    </r>
  </si>
  <si>
    <r>
      <t>规则 CRUD 生效</t>
    </r>
  </si>
  <si>
    <r>
      <t>TC-RISK-006</t>
    </r>
  </si>
  <si>
    <r>
      <t>护栏校验</t>
    </r>
  </si>
  <si>
    <r>
      <t>`POST /api/comments/guard-check` `{text}`</t>
    </r>
  </si>
  <si>
    <r>
      <t>返回是否命中违禁词/风险</t>
    </r>
  </si>
  <si>
    <r>
      <t>TC-RISK-007</t>
    </r>
  </si>
  <si>
    <r>
      <t>脱敏</t>
    </r>
  </si>
  <si>
    <r>
      <t>`POST /api/comments/desensitize` `{text}`</t>
    </r>
  </si>
  <si>
    <r>
      <t>手机号/微信等敏感信息被脱敏</t>
    </r>
  </si>
  <si>
    <r>
      <t>TC-RISK-008</t>
    </r>
  </si>
  <si>
    <r>
      <t>合规看板</t>
    </r>
  </si>
  <si>
    <r>
      <t>`GET /dashboard/compliance`</t>
    </r>
  </si>
  <si>
    <r>
      <t>返回合规指标（暂停率、拦截数）</t>
    </r>
  </si>
  <si>
    <r>
      <t>TC-SET-001</t>
    </r>
  </si>
  <si>
    <r>
      <t>设置页加载</t>
    </r>
  </si>
  <si>
    <r>
      <t>进入 `#/settings`</t>
    </r>
  </si>
  <si>
    <r>
      <t>展示业务配置/AI/备份等分组入口</t>
    </r>
  </si>
  <si>
    <r>
      <t>TC-SET-002</t>
    </r>
  </si>
  <si>
    <r>
      <t>业务配置读写</t>
    </r>
  </si>
  <si>
    <r>
      <t>`GET/PUT /api/business/profile`</t>
    </r>
  </si>
  <si>
    <r>
      <t>返回/更新业务画像（注意字段 snake，勿 `_normalize`）</t>
    </r>
  </si>
  <si>
    <r>
      <t>TC-SET-003</t>
    </r>
  </si>
  <si>
    <r>
      <t>AI 设置</t>
    </r>
  </si>
  <si>
    <r>
      <t>`GET/PUT /api/ai/settings`</t>
    </r>
  </si>
  <si>
    <r>
      <t>返回/保存 AI 配置（未配置时 readiness 的 `ai.ok=false`）</t>
    </r>
  </si>
  <si>
    <r>
      <t>TC-SET-004</t>
    </r>
  </si>
  <si>
    <r>
      <t>发送配置</t>
    </r>
  </si>
  <si>
    <r>
      <t>`GET/PUT /api/dm/sender/config`</t>
    </r>
  </si>
  <si>
    <r>
      <t>私信发送参数读写</t>
    </r>
  </si>
  <si>
    <r>
      <t>TC-SET-005</t>
    </r>
  </si>
  <si>
    <r>
      <t>策略开关</t>
    </r>
  </si>
  <si>
    <r>
      <t>`api-settings` 的 `fetchStrategy*` 系列</t>
    </r>
  </si>
  <si>
    <r>
      <t>读取字段为 `r1_enabled` 等 snake 命名</t>
    </r>
  </si>
  <si>
    <r>
      <t>TC-SET-006</t>
    </r>
  </si>
  <si>
    <r>
      <t>设置持久化</t>
    </r>
  </si>
  <si>
    <r>
      <t>刷新后设置保留</t>
    </r>
  </si>
  <si>
    <r>
      <t>TC-BAK-001</t>
    </r>
  </si>
  <si>
    <r>
      <t>备份页全宽</t>
    </r>
  </si>
  <si>
    <r>
      <t>进入备份页</t>
    </r>
  </si>
  <si>
    <r>
      <t>`.backup-page{max-width:none}` 全宽（非 960px）</t>
    </r>
  </si>
  <si>
    <r>
      <t>TC-BAK-002</t>
    </r>
  </si>
  <si>
    <r>
      <t>创建备份</t>
    </r>
  </si>
  <si>
    <r>
      <t>`POST /api/backup/create`</t>
    </r>
  </si>
  <si>
    <r>
      <t>返回 `BackupInfo`，生成备份文件</t>
    </r>
  </si>
  <si>
    <r>
      <t>TC-BAK-003</t>
    </r>
  </si>
  <si>
    <r>
      <t>备份列表</t>
    </r>
  </si>
  <si>
    <r>
      <t>`GET /api/backup/list`</t>
    </r>
  </si>
  <si>
    <r>
      <t>返回 `BackupListResponse`</t>
    </r>
  </si>
  <si>
    <r>
      <t>TC-BAK-004</t>
    </r>
  </si>
  <si>
    <r>
      <t>备份设置</t>
    </r>
  </si>
  <si>
    <r>
      <t>`GET/PUT /api/backup/settings`</t>
    </r>
  </si>
  <si>
    <r>
      <t>自动备份策略读写</t>
    </r>
  </si>
  <si>
    <r>
      <t>TC-BAK-005</t>
    </r>
  </si>
  <si>
    <r>
      <t>导出 JSON</t>
    </r>
  </si>
  <si>
    <r>
      <t>`POST /api/backup/export-json`</t>
    </r>
  </si>
  <si>
    <r>
      <t>返回 `ExportResponse` 下载链接</t>
    </r>
  </si>
  <si>
    <r>
      <t>TC-BAK-006</t>
    </r>
  </si>
  <si>
    <r>
      <t>恢复预览</t>
    </r>
  </si>
  <si>
    <r>
      <t>`POST /api/backup/{filename}/restore`</t>
    </r>
  </si>
  <si>
    <r>
      <t>返回恢复预览（未生效）</t>
    </r>
  </si>
  <si>
    <r>
      <t>TC-BAK-007</t>
    </r>
  </si>
  <si>
    <r>
      <t>恢复确认</t>
    </r>
  </si>
  <si>
    <r>
      <t>`POST /api/backup/{filename}/restore/confirm`</t>
    </r>
  </si>
  <si>
    <r>
      <t>数据恢复生效</t>
    </r>
  </si>
  <si>
    <r>
      <t>TC-BAK-008</t>
    </r>
  </si>
  <si>
    <r>
      <t>删除备份</t>
    </r>
  </si>
  <si>
    <r>
      <t>`DELETE /api/backup/{filename}`</t>
    </r>
  </si>
  <si>
    <r>
      <t>返回 `DeleteResponse`，文件移除</t>
    </r>
  </si>
  <si>
    <r>
      <t>TC-BAK-009</t>
    </r>
  </si>
  <si>
    <r>
      <t>备份失败兜底</t>
    </r>
  </si>
  <si>
    <r>
      <t>ERR</t>
    </r>
  </si>
  <si>
    <r>
      <t>磁盘满/文件锁时返回明确错误，不破坏现库</t>
    </r>
  </si>
  <si>
    <r>
      <t>TC-DM-001</t>
    </r>
  </si>
  <si>
    <r>
      <t>单发</t>
    </r>
  </si>
  <si>
    <r>
      <t>`POST /api/dm/send/{lead_id}`</t>
    </r>
  </si>
  <si>
    <r>
      <t>返回 `SendResultOut`；界面注明为模拟</t>
    </r>
  </si>
  <si>
    <r>
      <t>TC-DM-002</t>
    </r>
  </si>
  <si>
    <r>
      <t>批量发送</t>
    </r>
  </si>
  <si>
    <r>
      <t>`POST /api/dm/send-batch`</t>
    </r>
  </si>
  <si>
    <r>
      <t>返回 `BatchSendResponse`，可查 `GET /send-batch/status`</t>
    </r>
  </si>
  <si>
    <r>
      <t>TC-DM-003</t>
    </r>
  </si>
  <si>
    <r>
      <t>批量停止</t>
    </r>
  </si>
  <si>
    <r>
      <t>`POST /api/dm/send-batch/stop`</t>
    </r>
  </si>
  <si>
    <r>
      <t>批量任务停止</t>
    </r>
  </si>
  <si>
    <r>
      <t>TC-DM-004</t>
    </r>
  </si>
  <si>
    <r>
      <t>发送结果</t>
    </r>
  </si>
  <si>
    <r>
      <t>`GET /api/dm/send-results`</t>
    </r>
  </si>
  <si>
    <r>
      <t>返回发送记录列表</t>
    </r>
  </si>
  <si>
    <r>
      <t>TC-DM-005</t>
    </r>
  </si>
  <si>
    <r>
      <t>失败重试</t>
    </r>
  </si>
  <si>
    <r>
      <t>`POST /api/dm/retry-failed`</t>
    </r>
  </si>
  <si>
    <r>
      <t>重试失败项</t>
    </r>
  </si>
  <si>
    <r>
      <t>TC-DM-006</t>
    </r>
  </si>
  <si>
    <r>
      <t>发送测试</t>
    </r>
  </si>
  <si>
    <r>
      <t>`POST /api/dm/sender/test`</t>
    </r>
  </si>
  <si>
    <r>
      <t>测试发送返回结果</t>
    </r>
  </si>
  <si>
    <r>
      <t>TC-DM-007</t>
    </r>
  </si>
  <si>
    <r>
      <t>发送参数读写</t>
    </r>
  </si>
  <si>
    <r>
      <t>TC-DM-008</t>
    </r>
  </si>
  <si>
    <r>
      <t>mock 明确提示</t>
    </r>
  </si>
  <si>
    <r>
      <t>私信相关界面显著标注「当前为模拟发送，未真实触达」</t>
    </r>
  </si>
  <si>
    <r>
      <t>TC-INB-001</t>
    </r>
  </si>
  <si>
    <r>
      <t>收件箱列表</t>
    </r>
  </si>
  <si>
    <r>
      <t>进入互动/收件箱</t>
    </r>
  </si>
  <si>
    <r>
      <t>`GET /api/dm/inbox` 返回顶层数组；字段含会话摘要</t>
    </r>
  </si>
  <si>
    <r>
      <t>TC-INB-002</t>
    </r>
  </si>
  <si>
    <r>
      <t>会话详情</t>
    </r>
  </si>
  <si>
    <r>
      <t>`GET /api/dm/inbox/{id}`</t>
    </r>
  </si>
  <si>
    <r>
      <t>返回 `InboxConversationDetail`</t>
    </r>
  </si>
  <si>
    <r>
      <t>TC-INB-003</t>
    </r>
  </si>
  <si>
    <r>
      <t>回复</t>
    </r>
  </si>
  <si>
    <r>
      <t>`POST /api/dm/inbox/{id}/reply`</t>
    </r>
  </si>
  <si>
    <r>
      <t>返回 `InboxMessageItem`，追加到会话</t>
    </r>
  </si>
  <si>
    <r>
      <t>TC-INB-004</t>
    </r>
  </si>
  <si>
    <r>
      <t>返回 `MarkWechatResponse`</t>
    </r>
  </si>
  <si>
    <r>
      <t>TC-INB-005</t>
    </r>
  </si>
  <si>
    <r>
      <t>模拟数据</t>
    </r>
  </si>
  <si>
    <r>
      <t>生成模拟收件</t>
    </r>
  </si>
  <si>
    <r>
      <t>TC-AI-001</t>
    </r>
  </si>
  <si>
    <r>
      <t>AI 设置读写</t>
    </r>
  </si>
  <si>
    <r>
      <t>配置读写；未配置时 readiness `ai.ok=false`</t>
    </r>
  </si>
  <si>
    <r>
      <t>TC-AI-002</t>
    </r>
  </si>
  <si>
    <r>
      <t>评论分析</t>
    </r>
  </si>
  <si>
    <r>
      <t>`POST /api/ai/comment-insight` / `/batch`</t>
    </r>
  </si>
  <si>
    <r>
      <t>返回洞察（依赖 AI key）</t>
    </r>
  </si>
  <si>
    <r>
      <t>TC-AI-003</t>
    </r>
  </si>
  <si>
    <r>
      <t>智能拟稿</t>
    </r>
  </si>
  <si>
    <r>
      <t>`POST /api/ai/draft` / `/comment-suggestion`</t>
    </r>
  </si>
  <si>
    <r>
      <t>返回话术建议</t>
    </r>
  </si>
  <si>
    <r>
      <t>TC-AI-004</t>
    </r>
  </si>
  <si>
    <r>
      <t>用户画像分析</t>
    </r>
  </si>
  <si>
    <r>
      <t>`POST /api/ai/profile-analysis`</t>
    </r>
  </si>
  <si>
    <r>
      <t>返回画像</t>
    </r>
  </si>
  <si>
    <r>
      <t>TC-AI-005</t>
    </r>
  </si>
  <si>
    <r>
      <t>通用分析</t>
    </r>
  </si>
  <si>
    <r>
      <t>`POST /api/ai/analyze`</t>
    </r>
  </si>
  <si>
    <r>
      <t>返回分析结果</t>
    </r>
  </si>
  <si>
    <r>
      <t>TC-AI-006</t>
    </r>
  </si>
  <si>
    <r>
      <t>未配置降级</t>
    </r>
  </si>
  <si>
    <r>
      <t>AI 未配置时相关按钮禁用/提示，不 500</t>
    </r>
  </si>
  <si>
    <r>
      <t>TC-NOT-001</t>
    </r>
  </si>
  <si>
    <r>
      <t>通知列表</t>
    </r>
  </si>
  <si>
    <r>
      <t>点铃铛</t>
    </r>
  </si>
  <si>
    <r>
      <t>`api-notifications` 拉取列表</t>
    </r>
  </si>
  <si>
    <r>
      <t>TC-NOT-002</t>
    </r>
  </si>
  <si>
    <r>
      <t>未读计数</t>
    </r>
  </si>
  <si>
    <r>
      <t>红点 `#bell-badge` 与实际未读一致</t>
    </r>
  </si>
  <si>
    <r>
      <t>TC-NOT-003</t>
    </r>
  </si>
  <si>
    <r>
      <t>标记已读</t>
    </r>
  </si>
  <si>
    <r>
      <t>点击后计数减少</t>
    </r>
  </si>
  <si>
    <r>
      <t>TC-NOT-004</t>
    </r>
  </si>
  <si>
    <r>
      <t>通知触发</t>
    </r>
  </si>
  <si>
    <r>
      <t>采集完成/客户成交等事件产生通知</t>
    </r>
  </si>
  <si>
    <r>
      <t>TC-E2E-001</t>
    </r>
  </si>
  <si>
    <r>
      <t>登录→采集→获客</t>
    </r>
  </si>
  <si>
    <r>
      <t>1. `#/accounts` 扫码登录抖音（真人确认）
2. `#/crawl` 启动采集关键词
3. `#/comment-growth` 选评论确认回复
4. `#/customers` 查看新增客户</t>
    </r>
  </si>
  <si>
    <r>
      <t>全链路数据贯通；readiness `douyin_login.ok=true`；leads→comments→customers 递进</t>
    </r>
  </si>
  <si>
    <r>
      <t>TC-E2E-002</t>
    </r>
  </si>
  <si>
    <r>
      <t>客户成交闭环</t>
    </r>
  </si>
  <si>
    <r>
      <t>客户推进阶段 → 成交录入 → 数据分析成交数 +1</t>
    </r>
  </si>
  <si>
    <r>
      <t>漏斗/成交指标同步</t>
    </r>
  </si>
  <si>
    <r>
      <t>TC-E2E-003</t>
    </r>
  </si>
  <si>
    <r>
      <t>合规兜底闭环</t>
    </r>
  </si>
  <si>
    <r>
      <t>进入安全模式 → 尝试启动采集/发送 → 退出安全模式</t>
    </r>
  </si>
  <si>
    <r>
      <t>安全模式下触达被拦；退出后恢复</t>
    </r>
  </si>
  <si>
    <r>
      <t>TC-ERR-001</t>
    </r>
  </si>
  <si>
    <r>
      <t>接口 404 路由</t>
    </r>
  </si>
  <si>
    <r>
      <t>访问不存在的 `/api/xxx`</t>
    </r>
  </si>
  <si>
    <r>
      <t>返回 404 JSON，不 500</t>
    </r>
  </si>
  <si>
    <r>
      <t>TC-ERR-002</t>
    </r>
  </si>
  <si>
    <r>
      <t>顶层数组陷阱</t>
    </r>
  </si>
  <si>
    <r>
      <t>★字段陷阱</t>
    </r>
  </si>
  <si>
    <r>
      <t>`GET /comments/tasks`、`/dm/queue`、`/dm/inbox`</t>
    </r>
  </si>
  <si>
    <r>
      <t>返回**顶层数组**；前端 `toArr` 兜底正确解析（非 `{items}`）</t>
    </r>
  </si>
  <si>
    <r>
      <t>TC-ERR-003</t>
    </r>
  </si>
  <si>
    <r>
      <t>字段命名 snake/camel</t>
    </r>
  </si>
  <si>
    <r>
      <t>核对 `CrawlAPI`(collected/imported_count)、`api-settings`(r1_enabled)、`commentExecute`(驼峰)</t>
    </r>
  </si>
  <si>
    <r>
      <t>未 `_normalize` 的接口返回 snake，前端不重复转义</t>
    </r>
  </si>
  <si>
    <r>
      <t>TC-ERR-004</t>
    </r>
  </si>
  <si>
    <r>
      <t>评论执行重名响应</t>
    </r>
  </si>
  <si>
    <r>
      <t>★已知坑</t>
    </r>
  </si>
  <si>
    <r>
      <t>构造 `match` 命中正常</t>
    </r>
  </si>
  <si>
    <r>
      <t>`CommentExecutionResponse(**{**fields,**result})` 不重名（否则 500）</t>
    </r>
  </si>
  <si>
    <r>
      <t>TC-ERR-005</t>
    </r>
  </si>
  <si>
    <r>
      <t>采集服务 500（无 uv）</t>
    </r>
  </si>
  <si>
    <r>
      <t>★已修</t>
    </r>
  </si>
  <si>
    <r>
      <t>确认 crawler_manager 用 MediaCrawler `.venv` python</t>
    </r>
  </si>
  <si>
    <r>
      <t>`POST /api/crawler/start`</t>
    </r>
  </si>
  <si>
    <r>
      <t>不再 500（历史事件，回归验证）</t>
    </r>
  </si>
  <si>
    <r>
      <t>TC-ERR-006</t>
    </r>
  </si>
  <si>
    <r>
      <t>地址全不可用拦截</t>
    </r>
  </si>
  <si>
    <r>
      <t>评论发送前所有地址不可用</t>
    </r>
  </si>
  <si>
    <r>
      <t>即时 400，不发起发送</t>
    </r>
  </si>
  <si>
    <r>
      <t>TC-ERR-007</t>
    </r>
  </si>
  <si>
    <r>
      <t>大字段/特殊字符</t>
    </r>
  </si>
  <si>
    <r>
      <t>评论含 emoji/超长/HTML</t>
    </r>
  </si>
  <si>
    <r>
      <t>入库不截断、展示转义（防 XSS）</t>
    </r>
  </si>
  <si>
    <r>
      <t>TC-ERR-008</t>
    </r>
  </si>
  <si>
    <r>
      <t>并发重复发送</t>
    </r>
  </si>
  <si>
    <r>
      <t>快速重复点「确认回复」</t>
    </r>
  </si>
  <si>
    <r>
      <t>幂等/去重，不重复真发</t>
    </r>
  </si>
  <si>
    <r>
      <t>使用说明 / 启动 / 回归清单</t>
    </r>
  </si>
</sst>
</file>

<file path=xl/styles.xml><?xml version="1.0" encoding="utf-8"?>
<styleSheet xmlns="http://schemas.openxmlformats.org/spreadsheetml/2006/main">
  <numFmts count="2">
    <numFmt numFmtId="300" formatCode="0.0%"/>
    <numFmt numFmtId="301" formatCode="General"/>
  </numFmts>
  <fonts count="12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14"/>
    </font>
    <font>
      <b val="1"/>
    </font>
    <font>
      <b val="1"/>
      <color rgb="FF1F3864"/>
    </font>
    <font>
      <b val="1"/>
      <sz val="12"/>
    </font>
    <font>
      <b val="1"/>
      <color rgb="FFFFFFFF"/>
      <sz val="11"/>
    </font>
    <font>
      <b val="1"/>
      <color rgb="FF9C0006"/>
    </font>
    <font>
      <color rgb="FF9C6500"/>
    </font>
    <font>
      <color rgb="FF1F3864"/>
    </font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E2F3"/>
      </patternFill>
    </fill>
    <fill>
      <patternFill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>
    <xf numFmtId="301" fontId="11" fillId="7" borderId="2" xfId="0"/>
  </cellStyleXfs>
  <cellXfs count="1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2" xfId="0" applyFont="1" applyFill="1" applyAlignment="1">
      <alignment horizontal="center" vertical="center"/>
    </xf>
    <xf numFmtId="301" fontId="4" fillId="7" borderId="1" xfId="0" applyFont="1" applyBorder="1" applyAlignment="1">
      <alignment horizontal="left" vertical="top" wrapText="1"/>
    </xf>
    <xf numFmtId="301" fontId="11" fillId="7" borderId="1" xfId="0" applyBorder="1"/>
    <xf numFmtId="300" fontId="5" fillId="7" borderId="1" xfId="0" applyNumberFormat="1" applyFont="1" applyBorder="1"/>
    <xf numFmtId="301" fontId="6" fillId="7" borderId="2" xfId="0" applyFont="1"/>
    <xf numFmtId="301" fontId="7" fillId="3" borderId="1" xfId="0" applyFont="1" applyFill="1" applyBorder="1" applyAlignment="1">
      <alignment horizontal="center" vertical="center" wrapText="1"/>
    </xf>
    <xf numFmtId="301" fontId="11" fillId="7" borderId="1" xfId="0" applyBorder="1" applyAlignment="1">
      <alignment horizontal="left" vertical="top" wrapText="1"/>
    </xf>
    <xf numFmtId="301" fontId="4" fillId="7" borderId="1" xfId="0" applyFont="1" applyBorder="1"/>
    <xf numFmtId="301" fontId="11" fillId="7" borderId="1" xfId="0" applyBorder="1" applyAlignment="1">
      <alignment horizontal="center" vertical="center" wrapText="1"/>
    </xf>
    <xf numFmtId="301" fontId="3" fillId="2" borderId="2" xfId="0" applyFont="1" applyFill="1" applyAlignment="1">
      <alignment horizontal="left" vertical="center"/>
    </xf>
    <xf fontId="8" fillId="4" borderId="0" xfId="0"/>
    <xf fontId="9" fillId="5" borderId="0" xfId="0"/>
    <xf fontId="10" fillId="6" borderId="0" xfId="0"/>
    <xf fontId="0" fillId="0" borderId="1" xfId="0">
      <alignment horizontal="left" vertical="top" wrapText="1"/>
    </xf>
  </cellXfs>
  <cellStyles>
    <cellStyle name="Normal" xfId="0" builtinId="0" hidden="0"/>
  </cellStyles>
  <dxfs count="5">
    <dxf>
      <font>
        <b val="1"/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1F3864"/>
      </font>
      <fill>
        <patternFill patternType="solid">
          <fgColor rgb="FFD9E2F3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6"/>
  <sheetViews>
    <sheetView showGridLines="1" workbookViewId="0"/>
  </sheetViews>
  <sheetFormatPr baseColWidth="8" defaultRowHeight="15"/>
  <cols>
    <col min="1" max="1" width="16" customWidth="1"/>
    <col min="2" max="2" width="14" customWidth="1"/>
    <col min="3" max="3" width="14" customWidth="1"/>
  </cols>
  <sheetData>
    <row r="1" spans="1:1" ht="28" customHeight="1">
      <c r="A1" s="4" t="s">
        <v>1</v>
      </c>
    </row>
    <row r="3" spans="1:2">
      <c r="A3" s="5" t="s">
        <v>2</v>
      </c>
      <c r="B3" s="6">
        <f>=COUNTA(测试用例!B2:B131)</f>
        <v>130</v>
      </c>
    </row>
    <row r="4" spans="1:2">
      <c r="A4" s="5" t="s">
        <v>3</v>
      </c>
      <c r="B4" s="6">
        <f>=COUNTIF(测试用例!E2:E131,"P0")</f>
        <v>32</v>
      </c>
    </row>
    <row r="5" spans="1:2">
      <c r="A5" s="5" t="s">
        <v>4</v>
      </c>
      <c r="B5" s="6">
        <f>=COUNTIF(测试用例!E2:E131,"P1")</f>
        <v>77</v>
      </c>
    </row>
    <row r="6" spans="1:2">
      <c r="A6" s="5" t="s">
        <v>5</v>
      </c>
      <c r="B6" s="6">
        <f>=COUNTIF(测试用例!E2:E131,"P2")</f>
        <v>17</v>
      </c>
    </row>
    <row r="7" spans="1:2">
      <c r="A7" s="5" t="s">
        <v>6</v>
      </c>
      <c r="B7" s="6">
        <f>=COUNTIF(测试用例!K2:K131,"通过")</f>
        <v>0</v>
      </c>
    </row>
    <row r="8" spans="1:2">
      <c r="A8" s="5" t="s">
        <v>7</v>
      </c>
      <c r="B8" s="6">
        <f>=COUNTIF(测试用例!K2:K131,"失败")</f>
        <v>0</v>
      </c>
    </row>
    <row r="9" spans="1:2">
      <c r="A9" s="5" t="s">
        <v>8</v>
      </c>
      <c r="B9" s="6">
        <f>=COUNTIF(测试用例!K2:K131,"阻塞")</f>
        <v>0</v>
      </c>
    </row>
    <row r="10" spans="1:2">
      <c r="A10" s="5" t="s">
        <v>9</v>
      </c>
      <c r="B10" s="6">
        <f>=B3-(B7+B8+B9)</f>
        <v>130</v>
      </c>
    </row>
    <row r="11" spans="1:2">
      <c r="A11" s="5" t="s">
        <v>10</v>
      </c>
      <c r="B11" s="7" t="str">
        <f>=IF((B7+B8+B9)=0,"",B7/(B7+B8+B9))</f>
        <v/>
      </c>
    </row>
    <row r="13" spans="1:1">
      <c r="A13" s="8" t="s">
        <v>11</v>
      </c>
    </row>
    <row r="14" spans="1:2">
      <c r="A14" s="9" t="s">
        <v>12</v>
      </c>
      <c r="B14" s="9" t="s">
        <v>13</v>
      </c>
    </row>
    <row r="15" spans="1:2">
      <c r="A15" s="10" t="s"/>
      <c r="B15" s="6">
        <f>=COUNTIF(测试用例!C2:C131,"")</f>
        <v>130</v>
      </c>
    </row>
    <row r="16" spans="1:2">
      <c r="A16" s="11" t="s">
        <v>14</v>
      </c>
      <c r="B16" s="6">
        <f>=SUM(B15)</f>
        <v>130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N131"/>
  <sheetViews>
    <sheetView showGridLines="1" workbookViewId="0">
      <pane xSplit="1" ySplit="1" topLeftCell="B2" activePane="bottomRight" state="frozen"/>
    </sheetView>
  </sheetViews>
  <sheetFormatPr baseColWidth="8" defaultRowHeight="15"/>
  <cols>
    <col min="1" max="1" width="6" customWidth="1"/>
    <col min="2" max="2" width="14" customWidth="1"/>
    <col min="3" max="3" width="14" customWidth="1"/>
    <col min="4" max="4" width="28" customWidth="1"/>
    <col min="5" max="5" width="8" customWidth="1"/>
    <col min="6" max="6" width="8" customWidth="1"/>
    <col min="7" max="7" width="12" customWidth="1"/>
    <col min="8" max="8" width="30" customWidth="1"/>
    <col min="9" max="9" width="42" customWidth="1"/>
    <col min="10" max="10" width="48" customWidth="1"/>
    <col min="11" max="11" width="10" customWidth="1"/>
    <col min="12" max="12" width="30" customWidth="1"/>
    <col min="13" max="13" width="10" customWidth="1"/>
    <col min="14" max="14" width="14" customWidth="1"/>
  </cols>
  <sheetData>
    <row r="1" spans="1:14">
      <c r="A1" s="9" t="s">
        <v>15</v>
      </c>
      <c r="B1" s="9" t="s">
        <v>16</v>
      </c>
      <c r="C1" s="9" t="s">
        <v>12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23</v>
      </c>
      <c r="K1" s="9" t="s">
        <v>24</v>
      </c>
      <c r="L1" s="9" t="s">
        <v>25</v>
      </c>
      <c r="M1" s="9" t="s">
        <v>26</v>
      </c>
      <c r="N1" s="9" t="s">
        <v>27</v>
      </c>
    </row>
    <row r="2" spans="1:14">
      <c r="A2" s="12">
        <v>1</v>
      </c>
      <c r="B2" s="12" t="s">
        <v>28</v>
      </c>
      <c r="C2" s="10" t="s"/>
      <c r="D2" s="10" t="s">
        <v>29</v>
      </c>
      <c r="E2" s="12" t="s">
        <v>30</v>
      </c>
      <c r="F2" s="12" t="s">
        <v>31</v>
      </c>
      <c r="G2" s="10" t="s"/>
      <c r="H2" s="10" t="s">
        <v>32</v>
      </c>
      <c r="I2" s="10" t="s">
        <v>33</v>
      </c>
      <c r="J2" s="10" t="s">
        <v>34</v>
      </c>
      <c r="K2" s="12" t="s"/>
      <c r="L2" s="10" t="s"/>
      <c r="M2" s="12" t="s"/>
      <c r="N2" s="12" t="s"/>
    </row>
    <row r="3" spans="1:14">
      <c r="A3" s="12">
        <v>2</v>
      </c>
      <c r="B3" s="12" t="s">
        <v>35</v>
      </c>
      <c r="C3" s="10" t="s"/>
      <c r="D3" s="17" t="s">
        <v>36</v>
      </c>
      <c r="E3" s="12" t="s">
        <v>30</v>
      </c>
      <c r="F3" s="12" t="s">
        <v>31</v>
      </c>
      <c r="G3" s="10" t="s"/>
      <c r="H3" s="10" t="s"/>
      <c r="I3" s="10" t="s">
        <v>37</v>
      </c>
      <c r="J3" s="10" t="s">
        <v>38</v>
      </c>
      <c r="K3" s="12" t="s"/>
      <c r="L3" s="10" t="s"/>
      <c r="M3" s="12" t="s"/>
      <c r="N3" s="12" t="s"/>
    </row>
    <row r="4" spans="1:14">
      <c r="A4" s="12">
        <v>3</v>
      </c>
      <c r="B4" s="12" t="s">
        <v>39</v>
      </c>
      <c r="C4" s="10" t="s"/>
      <c r="D4" s="10" t="s">
        <v>40</v>
      </c>
      <c r="E4" s="12" t="s">
        <v>41</v>
      </c>
      <c r="F4" s="12" t="s">
        <v>31</v>
      </c>
      <c r="G4" s="10" t="s"/>
      <c r="H4" s="10" t="s"/>
      <c r="I4" s="10" t="s">
        <v>42</v>
      </c>
      <c r="J4" s="10" t="s">
        <v>43</v>
      </c>
      <c r="K4" s="12" t="s"/>
      <c r="L4" s="10" t="s"/>
      <c r="M4" s="12" t="s"/>
      <c r="N4" s="12" t="s"/>
    </row>
    <row r="5" spans="1:14">
      <c r="A5" s="12">
        <v>4</v>
      </c>
      <c r="B5" s="12" t="s">
        <v>44</v>
      </c>
      <c r="C5" s="10" t="s"/>
      <c r="D5" s="10" t="s">
        <v>45</v>
      </c>
      <c r="E5" s="12" t="s">
        <v>41</v>
      </c>
      <c r="F5" s="12" t="s">
        <v>31</v>
      </c>
      <c r="G5" s="10" t="s"/>
      <c r="H5" s="10" t="s"/>
      <c r="I5" s="10" t="s">
        <v>46</v>
      </c>
      <c r="J5" s="10" t="s">
        <v>47</v>
      </c>
      <c r="K5" s="12" t="s"/>
      <c r="L5" s="10" t="s"/>
      <c r="M5" s="12" t="s"/>
      <c r="N5" s="12" t="s"/>
    </row>
    <row r="6" spans="1:14">
      <c r="A6" s="12">
        <v>5</v>
      </c>
      <c r="B6" s="12" t="s">
        <v>48</v>
      </c>
      <c r="C6" s="10" t="s"/>
      <c r="D6" s="10" t="s">
        <v>49</v>
      </c>
      <c r="E6" s="12" t="s">
        <v>30</v>
      </c>
      <c r="F6" s="12" t="s">
        <v>31</v>
      </c>
      <c r="G6" s="10" t="s"/>
      <c r="H6" s="10" t="s"/>
      <c r="I6" s="10" t="s"/>
      <c r="J6" s="10" t="s">
        <v>50</v>
      </c>
      <c r="K6" s="12" t="s"/>
      <c r="L6" s="10" t="s"/>
      <c r="M6" s="12" t="s"/>
      <c r="N6" s="12" t="s"/>
    </row>
    <row r="7" spans="1:14">
      <c r="A7" s="12">
        <v>6</v>
      </c>
      <c r="B7" s="12" t="s">
        <v>51</v>
      </c>
      <c r="C7" s="10" t="s"/>
      <c r="D7" s="10" t="s">
        <v>52</v>
      </c>
      <c r="E7" s="12" t="s">
        <v>41</v>
      </c>
      <c r="F7" s="12" t="s">
        <v>31</v>
      </c>
      <c r="G7" s="10" t="s"/>
      <c r="H7" s="10" t="s"/>
      <c r="I7" s="10" t="s">
        <v>53</v>
      </c>
      <c r="J7" s="10" t="s">
        <v>54</v>
      </c>
      <c r="K7" s="12" t="s"/>
      <c r="L7" s="10" t="s"/>
      <c r="M7" s="12" t="s"/>
      <c r="N7" s="12" t="s"/>
    </row>
    <row r="8" spans="1:14">
      <c r="A8" s="12">
        <v>7</v>
      </c>
      <c r="B8" s="12" t="s">
        <v>55</v>
      </c>
      <c r="C8" s="10" t="s"/>
      <c r="D8" s="10" t="s">
        <v>56</v>
      </c>
      <c r="E8" s="12" t="s">
        <v>30</v>
      </c>
      <c r="F8" s="12" t="s">
        <v>31</v>
      </c>
      <c r="G8" s="10" t="s"/>
      <c r="H8" s="10" t="s"/>
      <c r="I8" s="10" t="s">
        <v>57</v>
      </c>
      <c r="J8" s="10" t="s">
        <v>58</v>
      </c>
      <c r="K8" s="12" t="s"/>
      <c r="L8" s="10" t="s"/>
      <c r="M8" s="12" t="s"/>
      <c r="N8" s="12" t="s"/>
    </row>
    <row r="9" spans="1:14">
      <c r="A9" s="12">
        <v>8</v>
      </c>
      <c r="B9" s="12" t="s">
        <v>59</v>
      </c>
      <c r="C9" s="10" t="s"/>
      <c r="D9" s="10" t="s">
        <v>60</v>
      </c>
      <c r="E9" s="12" t="s">
        <v>41</v>
      </c>
      <c r="F9" s="12" t="s">
        <v>31</v>
      </c>
      <c r="G9" s="10" t="s"/>
      <c r="H9" s="10" t="s"/>
      <c r="I9" s="10" t="s">
        <v>61</v>
      </c>
      <c r="J9" s="10" t="s">
        <v>62</v>
      </c>
      <c r="K9" s="12" t="s"/>
      <c r="L9" s="10" t="s"/>
      <c r="M9" s="12" t="s"/>
      <c r="N9" s="12" t="s"/>
    </row>
    <row r="10" spans="1:14">
      <c r="A10" s="12">
        <v>9</v>
      </c>
      <c r="B10" s="12" t="s">
        <v>63</v>
      </c>
      <c r="C10" s="10" t="s"/>
      <c r="D10" s="10" t="s">
        <v>64</v>
      </c>
      <c r="E10" s="12" t="s">
        <v>41</v>
      </c>
      <c r="F10" s="12" t="s">
        <v>31</v>
      </c>
      <c r="G10" s="10" t="s"/>
      <c r="H10" s="10" t="s"/>
      <c r="I10" s="10" t="s">
        <v>65</v>
      </c>
      <c r="J10" s="10" t="s">
        <v>66</v>
      </c>
      <c r="K10" s="12" t="s"/>
      <c r="L10" s="10" t="s"/>
      <c r="M10" s="12" t="s"/>
      <c r="N10" s="12" t="s"/>
    </row>
    <row r="11" spans="1:14">
      <c r="A11" s="12">
        <v>10</v>
      </c>
      <c r="B11" s="12" t="s">
        <v>67</v>
      </c>
      <c r="C11" s="10" t="s"/>
      <c r="D11" s="10" t="s">
        <v>68</v>
      </c>
      <c r="E11" s="12" t="s">
        <v>30</v>
      </c>
      <c r="F11" s="12" t="s">
        <v>31</v>
      </c>
      <c r="G11" s="10" t="s">
        <v>69</v>
      </c>
      <c r="H11" s="10" t="s">
        <v>70</v>
      </c>
      <c r="I11" s="10" t="s">
        <v>71</v>
      </c>
      <c r="J11" s="10" t="s">
        <v>72</v>
      </c>
      <c r="K11" s="12" t="s"/>
      <c r="L11" s="10" t="s"/>
      <c r="M11" s="12" t="s"/>
      <c r="N11" s="12" t="s"/>
    </row>
    <row r="12" spans="1:14">
      <c r="A12" s="12">
        <v>11</v>
      </c>
      <c r="B12" s="12" t="s">
        <v>73</v>
      </c>
      <c r="C12" s="10" t="s"/>
      <c r="D12" s="10" t="s">
        <v>74</v>
      </c>
      <c r="E12" s="12" t="s">
        <v>30</v>
      </c>
      <c r="F12" s="12" t="s">
        <v>31</v>
      </c>
      <c r="G12" s="10" t="s"/>
      <c r="H12" s="10" t="s">
        <v>75</v>
      </c>
      <c r="I12" s="10" t="s">
        <v>76</v>
      </c>
      <c r="J12" s="10" t="s">
        <v>77</v>
      </c>
      <c r="K12" s="12" t="s"/>
      <c r="L12" s="10" t="s"/>
      <c r="M12" s="12" t="s"/>
      <c r="N12" s="12" t="s"/>
    </row>
    <row r="13" spans="1:14">
      <c r="A13" s="12">
        <v>12</v>
      </c>
      <c r="B13" s="12" t="s">
        <v>78</v>
      </c>
      <c r="C13" s="10" t="s"/>
      <c r="D13" s="10" t="s">
        <v>79</v>
      </c>
      <c r="E13" s="12" t="s">
        <v>41</v>
      </c>
      <c r="F13" s="12" t="s">
        <v>31</v>
      </c>
      <c r="G13" s="10" t="s"/>
      <c r="H13" s="10" t="s"/>
      <c r="I13" s="10" t="s">
        <v>80</v>
      </c>
      <c r="J13" s="10" t="s">
        <v>81</v>
      </c>
      <c r="K13" s="12" t="s"/>
      <c r="L13" s="10" t="s"/>
      <c r="M13" s="12" t="s"/>
      <c r="N13" s="12" t="s"/>
    </row>
    <row r="14" spans="1:14">
      <c r="A14" s="12">
        <v>13</v>
      </c>
      <c r="B14" s="12" t="s">
        <v>82</v>
      </c>
      <c r="C14" s="10" t="s"/>
      <c r="D14" s="10" t="s">
        <v>83</v>
      </c>
      <c r="E14" s="12" t="s">
        <v>41</v>
      </c>
      <c r="F14" s="12" t="s">
        <v>84</v>
      </c>
      <c r="G14" s="10" t="s"/>
      <c r="H14" s="10" t="s"/>
      <c r="I14" s="10" t="s">
        <v>85</v>
      </c>
      <c r="J14" s="10" t="s">
        <v>86</v>
      </c>
      <c r="K14" s="12" t="s"/>
      <c r="L14" s="10" t="s"/>
      <c r="M14" s="12" t="s"/>
      <c r="N14" s="12" t="s"/>
    </row>
    <row r="15" spans="1:14">
      <c r="A15" s="12">
        <v>14</v>
      </c>
      <c r="B15" s="12" t="s">
        <v>87</v>
      </c>
      <c r="C15" s="10" t="s"/>
      <c r="D15" s="10" t="s">
        <v>88</v>
      </c>
      <c r="E15" s="12" t="s">
        <v>41</v>
      </c>
      <c r="F15" s="12" t="s">
        <v>84</v>
      </c>
      <c r="G15" s="10" t="s"/>
      <c r="H15" s="10" t="s"/>
      <c r="I15" s="10" t="s">
        <v>89</v>
      </c>
      <c r="J15" s="10" t="s">
        <v>90</v>
      </c>
      <c r="K15" s="12" t="s"/>
      <c r="L15" s="10" t="s"/>
      <c r="M15" s="12" t="s"/>
      <c r="N15" s="12" t="s"/>
    </row>
    <row r="16" spans="1:14">
      <c r="A16" s="12">
        <v>15</v>
      </c>
      <c r="B16" s="12" t="s">
        <v>91</v>
      </c>
      <c r="C16" s="10" t="s"/>
      <c r="D16" s="10" t="s">
        <v>92</v>
      </c>
      <c r="E16" s="12" t="s">
        <v>41</v>
      </c>
      <c r="F16" s="12" t="s">
        <v>84</v>
      </c>
      <c r="G16" s="10" t="s"/>
      <c r="H16" s="10" t="s"/>
      <c r="I16" s="10" t="s">
        <v>93</v>
      </c>
      <c r="J16" s="10" t="s">
        <v>94</v>
      </c>
      <c r="K16" s="12" t="s"/>
      <c r="L16" s="10" t="s"/>
      <c r="M16" s="12" t="s"/>
      <c r="N16" s="12" t="s"/>
    </row>
    <row r="17" spans="1:14">
      <c r="A17" s="12">
        <v>16</v>
      </c>
      <c r="B17" s="12" t="s">
        <v>95</v>
      </c>
      <c r="C17" s="10" t="s"/>
      <c r="D17" s="10" t="s">
        <v>96</v>
      </c>
      <c r="E17" s="12" t="s">
        <v>41</v>
      </c>
      <c r="F17" s="12" t="s">
        <v>84</v>
      </c>
      <c r="G17" s="10" t="s"/>
      <c r="H17" s="10" t="s"/>
      <c r="I17" s="10" t="s">
        <v>97</v>
      </c>
      <c r="J17" s="10" t="s">
        <v>98</v>
      </c>
      <c r="K17" s="12" t="s"/>
      <c r="L17" s="10" t="s"/>
      <c r="M17" s="12" t="s"/>
      <c r="N17" s="12" t="s"/>
    </row>
    <row r="18" spans="1:14">
      <c r="A18" s="12">
        <v>17</v>
      </c>
      <c r="B18" s="12" t="s">
        <v>99</v>
      </c>
      <c r="C18" s="10" t="s"/>
      <c r="D18" s="10" t="s">
        <v>100</v>
      </c>
      <c r="E18" s="12" t="s">
        <v>41</v>
      </c>
      <c r="F18" s="12" t="s">
        <v>84</v>
      </c>
      <c r="G18" s="10" t="s"/>
      <c r="H18" s="10" t="s"/>
      <c r="I18" s="10" t="s">
        <v>101</v>
      </c>
      <c r="J18" s="10" t="s">
        <v>102</v>
      </c>
      <c r="K18" s="12" t="s"/>
      <c r="L18" s="10" t="s"/>
      <c r="M18" s="12" t="s"/>
      <c r="N18" s="12" t="s"/>
    </row>
    <row r="19" spans="1:14">
      <c r="A19" s="12">
        <v>18</v>
      </c>
      <c r="B19" s="12" t="s">
        <v>103</v>
      </c>
      <c r="C19" s="10" t="s"/>
      <c r="D19" s="10" t="s">
        <v>104</v>
      </c>
      <c r="E19" s="12" t="s">
        <v>105</v>
      </c>
      <c r="F19" s="12" t="s">
        <v>84</v>
      </c>
      <c r="G19" s="10" t="s"/>
      <c r="H19" s="10" t="s">
        <v>106</v>
      </c>
      <c r="I19" s="10" t="s">
        <v>107</v>
      </c>
      <c r="J19" s="10" t="s">
        <v>108</v>
      </c>
      <c r="K19" s="12" t="s"/>
      <c r="L19" s="10" t="s"/>
      <c r="M19" s="12" t="s"/>
      <c r="N19" s="12" t="s"/>
    </row>
    <row r="20" spans="1:14">
      <c r="A20" s="12">
        <v>19</v>
      </c>
      <c r="B20" s="12" t="s">
        <v>109</v>
      </c>
      <c r="C20" s="10" t="s"/>
      <c r="D20" s="10" t="s">
        <v>110</v>
      </c>
      <c r="E20" s="12" t="s">
        <v>105</v>
      </c>
      <c r="F20" s="12" t="s">
        <v>84</v>
      </c>
      <c r="G20" s="10" t="s"/>
      <c r="H20" s="10" t="s"/>
      <c r="I20" s="10" t="s">
        <v>111</v>
      </c>
      <c r="J20" s="10" t="s">
        <v>112</v>
      </c>
      <c r="K20" s="12" t="s"/>
      <c r="L20" s="10" t="s"/>
      <c r="M20" s="12" t="s"/>
      <c r="N20" s="12" t="s"/>
    </row>
    <row r="21" spans="1:14">
      <c r="A21" s="12">
        <v>20</v>
      </c>
      <c r="B21" s="12" t="s">
        <v>113</v>
      </c>
      <c r="C21" s="10" t="s"/>
      <c r="D21" s="10" t="s">
        <v>114</v>
      </c>
      <c r="E21" s="12" t="s">
        <v>30</v>
      </c>
      <c r="F21" s="12" t="s">
        <v>31</v>
      </c>
      <c r="G21" s="10" t="s"/>
      <c r="H21" s="10" t="s">
        <v>115</v>
      </c>
      <c r="I21" s="10" t="s">
        <v>116</v>
      </c>
      <c r="J21" s="10" t="s">
        <v>117</v>
      </c>
      <c r="K21" s="12" t="s"/>
      <c r="L21" s="10" t="s"/>
      <c r="M21" s="12" t="s"/>
      <c r="N21" s="12" t="s"/>
    </row>
    <row r="22" spans="1:14">
      <c r="A22" s="12">
        <v>21</v>
      </c>
      <c r="B22" s="12" t="s">
        <v>118</v>
      </c>
      <c r="C22" s="10" t="s"/>
      <c r="D22" s="10" t="s">
        <v>119</v>
      </c>
      <c r="E22" s="12" t="s">
        <v>30</v>
      </c>
      <c r="F22" s="12" t="s">
        <v>31</v>
      </c>
      <c r="G22" s="10" t="s">
        <v>120</v>
      </c>
      <c r="H22" s="10" t="s"/>
      <c r="I22" s="10" t="s">
        <v>121</v>
      </c>
      <c r="J22" s="10" t="s">
        <v>122</v>
      </c>
      <c r="K22" s="12" t="s"/>
      <c r="L22" s="10" t="s"/>
      <c r="M22" s="12" t="s"/>
      <c r="N22" s="12" t="s"/>
    </row>
    <row r="23" spans="1:14">
      <c r="A23" s="12">
        <v>22</v>
      </c>
      <c r="B23" s="12" t="s">
        <v>123</v>
      </c>
      <c r="C23" s="10" t="s"/>
      <c r="D23" s="10" t="s">
        <v>124</v>
      </c>
      <c r="E23" s="12" t="s">
        <v>41</v>
      </c>
      <c r="F23" s="12" t="s">
        <v>31</v>
      </c>
      <c r="G23" s="10" t="s"/>
      <c r="H23" s="10" t="s"/>
      <c r="I23" s="10" t="s">
        <v>125</v>
      </c>
      <c r="J23" s="10" t="s">
        <v>126</v>
      </c>
      <c r="K23" s="12" t="s"/>
      <c r="L23" s="10" t="s"/>
      <c r="M23" s="12" t="s"/>
      <c r="N23" s="12" t="s"/>
    </row>
    <row r="24" spans="1:14">
      <c r="A24" s="12">
        <v>23</v>
      </c>
      <c r="B24" s="12" t="s">
        <v>127</v>
      </c>
      <c r="C24" s="10" t="s"/>
      <c r="D24" s="10" t="s">
        <v>128</v>
      </c>
      <c r="E24" s="12" t="s">
        <v>41</v>
      </c>
      <c r="F24" s="12" t="s">
        <v>84</v>
      </c>
      <c r="G24" s="10" t="s"/>
      <c r="H24" s="10" t="s">
        <v>129</v>
      </c>
      <c r="I24" s="10" t="s">
        <v>130</v>
      </c>
      <c r="J24" s="10" t="s">
        <v>131</v>
      </c>
      <c r="K24" s="12" t="s"/>
      <c r="L24" s="10" t="s"/>
      <c r="M24" s="12" t="s"/>
      <c r="N24" s="12" t="s"/>
    </row>
    <row r="25" spans="1:14">
      <c r="A25" s="12">
        <v>24</v>
      </c>
      <c r="B25" s="12" t="s">
        <v>132</v>
      </c>
      <c r="C25" s="10" t="s"/>
      <c r="D25" s="10" t="s">
        <v>133</v>
      </c>
      <c r="E25" s="12" t="s">
        <v>30</v>
      </c>
      <c r="F25" s="12" t="s">
        <v>84</v>
      </c>
      <c r="G25" s="10" t="s"/>
      <c r="H25" s="10" t="s"/>
      <c r="I25" s="10" t="s">
        <v>134</v>
      </c>
      <c r="J25" s="10" t="s">
        <v>135</v>
      </c>
      <c r="K25" s="12" t="s"/>
      <c r="L25" s="10" t="s"/>
      <c r="M25" s="12" t="s"/>
      <c r="N25" s="12" t="s"/>
    </row>
    <row r="26" spans="1:14">
      <c r="A26" s="12">
        <v>25</v>
      </c>
      <c r="B26" s="12" t="s">
        <v>136</v>
      </c>
      <c r="C26" s="10" t="s"/>
      <c r="D26" s="10" t="s">
        <v>137</v>
      </c>
      <c r="E26" s="12" t="s">
        <v>41</v>
      </c>
      <c r="F26" s="12" t="s">
        <v>84</v>
      </c>
      <c r="G26" s="10" t="s"/>
      <c r="H26" s="10" t="s"/>
      <c r="I26" s="10" t="s">
        <v>138</v>
      </c>
      <c r="J26" s="10" t="s">
        <v>139</v>
      </c>
      <c r="K26" s="12" t="s"/>
      <c r="L26" s="10" t="s"/>
      <c r="M26" s="12" t="s"/>
      <c r="N26" s="12" t="s"/>
    </row>
    <row r="27" spans="1:14">
      <c r="A27" s="12">
        <v>26</v>
      </c>
      <c r="B27" s="12" t="s">
        <v>140</v>
      </c>
      <c r="C27" s="10" t="s"/>
      <c r="D27" s="10" t="s">
        <v>141</v>
      </c>
      <c r="E27" s="12" t="s">
        <v>105</v>
      </c>
      <c r="F27" s="12" t="s">
        <v>84</v>
      </c>
      <c r="G27" s="10" t="s"/>
      <c r="H27" s="10" t="s"/>
      <c r="I27" s="10" t="s">
        <v>142</v>
      </c>
      <c r="J27" s="10" t="s">
        <v>143</v>
      </c>
      <c r="K27" s="12" t="s"/>
      <c r="L27" s="10" t="s"/>
      <c r="M27" s="12" t="s"/>
      <c r="N27" s="12" t="s"/>
    </row>
    <row r="28" spans="1:14">
      <c r="A28" s="12">
        <v>27</v>
      </c>
      <c r="B28" s="12" t="s">
        <v>144</v>
      </c>
      <c r="C28" s="10" t="s"/>
      <c r="D28" s="10" t="s">
        <v>145</v>
      </c>
      <c r="E28" s="12" t="s">
        <v>105</v>
      </c>
      <c r="F28" s="12" t="s">
        <v>84</v>
      </c>
      <c r="G28" s="10" t="s"/>
      <c r="H28" s="10" t="s"/>
      <c r="I28" s="10" t="s">
        <v>146</v>
      </c>
      <c r="J28" s="10" t="s">
        <v>147</v>
      </c>
      <c r="K28" s="12" t="s"/>
      <c r="L28" s="10" t="s"/>
      <c r="M28" s="12" t="s"/>
      <c r="N28" s="12" t="s"/>
    </row>
    <row r="29" spans="1:14">
      <c r="A29" s="12">
        <v>28</v>
      </c>
      <c r="B29" s="12" t="s">
        <v>148</v>
      </c>
      <c r="C29" s="10" t="s"/>
      <c r="D29" s="10" t="s">
        <v>149</v>
      </c>
      <c r="E29" s="12" t="s">
        <v>30</v>
      </c>
      <c r="F29" s="12" t="s">
        <v>31</v>
      </c>
      <c r="G29" s="10" t="s"/>
      <c r="H29" s="10" t="s"/>
      <c r="I29" s="10" t="s">
        <v>150</v>
      </c>
      <c r="J29" s="10" t="s">
        <v>151</v>
      </c>
      <c r="K29" s="12" t="s"/>
      <c r="L29" s="10" t="s"/>
      <c r="M29" s="12" t="s"/>
      <c r="N29" s="12" t="s"/>
    </row>
    <row r="30" spans="1:14">
      <c r="A30" s="12">
        <v>29</v>
      </c>
      <c r="B30" s="12" t="s">
        <v>152</v>
      </c>
      <c r="C30" s="10" t="s"/>
      <c r="D30" s="10" t="s">
        <v>153</v>
      </c>
      <c r="E30" s="12" t="s">
        <v>41</v>
      </c>
      <c r="F30" s="12" t="s">
        <v>31</v>
      </c>
      <c r="G30" s="10" t="s"/>
      <c r="H30" s="10" t="s"/>
      <c r="I30" s="10" t="s">
        <v>154</v>
      </c>
      <c r="J30" s="10" t="s">
        <v>155</v>
      </c>
      <c r="K30" s="12" t="s"/>
      <c r="L30" s="10" t="s"/>
      <c r="M30" s="12" t="s"/>
      <c r="N30" s="12" t="s"/>
    </row>
    <row r="31" spans="1:14">
      <c r="A31" s="12">
        <v>30</v>
      </c>
      <c r="B31" s="12" t="s">
        <v>156</v>
      </c>
      <c r="C31" s="10" t="s"/>
      <c r="D31" s="10" t="s">
        <v>157</v>
      </c>
      <c r="E31" s="12" t="s">
        <v>41</v>
      </c>
      <c r="F31" s="12" t="s">
        <v>84</v>
      </c>
      <c r="G31" s="10" t="s"/>
      <c r="H31" s="10" t="s"/>
      <c r="I31" s="10" t="s">
        <v>158</v>
      </c>
      <c r="J31" s="10" t="s">
        <v>159</v>
      </c>
      <c r="K31" s="12" t="s"/>
      <c r="L31" s="10" t="s"/>
      <c r="M31" s="12" t="s"/>
      <c r="N31" s="12" t="s"/>
    </row>
    <row r="32" spans="1:14">
      <c r="A32" s="12">
        <v>31</v>
      </c>
      <c r="B32" s="12" t="s">
        <v>160</v>
      </c>
      <c r="C32" s="10" t="s"/>
      <c r="D32" s="10" t="s">
        <v>161</v>
      </c>
      <c r="E32" s="12" t="s">
        <v>105</v>
      </c>
      <c r="F32" s="12" t="s">
        <v>84</v>
      </c>
      <c r="G32" s="10" t="s"/>
      <c r="H32" s="10" t="s"/>
      <c r="I32" s="10" t="s">
        <v>162</v>
      </c>
      <c r="J32" s="10" t="s">
        <v>163</v>
      </c>
      <c r="K32" s="12" t="s"/>
      <c r="L32" s="10" t="s"/>
      <c r="M32" s="12" t="s"/>
      <c r="N32" s="12" t="s"/>
    </row>
    <row r="33" spans="1:14">
      <c r="A33" s="12">
        <v>32</v>
      </c>
      <c r="B33" s="12" t="s">
        <v>164</v>
      </c>
      <c r="C33" s="10" t="s"/>
      <c r="D33" s="10" t="s">
        <v>165</v>
      </c>
      <c r="E33" s="12" t="s">
        <v>30</v>
      </c>
      <c r="F33" s="12" t="s">
        <v>31</v>
      </c>
      <c r="G33" s="10" t="s"/>
      <c r="H33" s="10" t="s"/>
      <c r="I33" s="10" t="s"/>
      <c r="J33" s="10" t="s">
        <v>166</v>
      </c>
      <c r="K33" s="12" t="s"/>
      <c r="L33" s="10" t="s"/>
      <c r="M33" s="12" t="s"/>
      <c r="N33" s="12" t="s"/>
    </row>
    <row r="34" spans="1:14">
      <c r="A34" s="12">
        <v>33</v>
      </c>
      <c r="B34" s="12" t="s">
        <v>167</v>
      </c>
      <c r="C34" s="10" t="s"/>
      <c r="D34" s="10" t="s">
        <v>168</v>
      </c>
      <c r="E34" s="12" t="s">
        <v>30</v>
      </c>
      <c r="F34" s="12" t="s">
        <v>31</v>
      </c>
      <c r="G34" s="10" t="s"/>
      <c r="H34" s="10" t="s"/>
      <c r="I34" s="10" t="s">
        <v>169</v>
      </c>
      <c r="J34" s="10" t="s">
        <v>170</v>
      </c>
      <c r="K34" s="12" t="s"/>
      <c r="L34" s="10" t="s"/>
      <c r="M34" s="12" t="s"/>
      <c r="N34" s="12" t="s"/>
    </row>
    <row r="35" spans="1:14">
      <c r="A35" s="12">
        <v>34</v>
      </c>
      <c r="B35" s="12" t="s">
        <v>171</v>
      </c>
      <c r="C35" s="10" t="s"/>
      <c r="D35" s="10" t="s">
        <v>172</v>
      </c>
      <c r="E35" s="12" t="s">
        <v>41</v>
      </c>
      <c r="F35" s="12" t="s">
        <v>31</v>
      </c>
      <c r="G35" s="10" t="s"/>
      <c r="H35" s="10" t="s"/>
      <c r="I35" s="10" t="s">
        <v>173</v>
      </c>
      <c r="J35" s="10" t="s">
        <v>174</v>
      </c>
      <c r="K35" s="12" t="s"/>
      <c r="L35" s="10" t="s"/>
      <c r="M35" s="12" t="s"/>
      <c r="N35" s="12" t="s"/>
    </row>
    <row r="36" spans="1:14">
      <c r="A36" s="12">
        <v>35</v>
      </c>
      <c r="B36" s="12" t="s">
        <v>175</v>
      </c>
      <c r="C36" s="10" t="s"/>
      <c r="D36" s="10" t="s">
        <v>176</v>
      </c>
      <c r="E36" s="12" t="s">
        <v>105</v>
      </c>
      <c r="F36" s="12" t="s">
        <v>31</v>
      </c>
      <c r="G36" s="10" t="s"/>
      <c r="H36" s="10" t="s"/>
      <c r="I36" s="10" t="s">
        <v>177</v>
      </c>
      <c r="J36" s="10" t="s">
        <v>178</v>
      </c>
      <c r="K36" s="12" t="s"/>
      <c r="L36" s="10" t="s"/>
      <c r="M36" s="12" t="s"/>
      <c r="N36" s="12" t="s"/>
    </row>
    <row r="37" spans="1:14">
      <c r="A37" s="12">
        <v>36</v>
      </c>
      <c r="B37" s="12" t="s">
        <v>179</v>
      </c>
      <c r="C37" s="10" t="s"/>
      <c r="D37" s="10" t="s">
        <v>180</v>
      </c>
      <c r="E37" s="12" t="s">
        <v>105</v>
      </c>
      <c r="F37" s="12" t="s">
        <v>31</v>
      </c>
      <c r="G37" s="10" t="s"/>
      <c r="H37" s="10" t="s"/>
      <c r="I37" s="10" t="s"/>
      <c r="J37" s="10" t="s">
        <v>181</v>
      </c>
      <c r="K37" s="12" t="s"/>
      <c r="L37" s="10" t="s"/>
      <c r="M37" s="12" t="s"/>
      <c r="N37" s="12" t="s"/>
    </row>
    <row r="38" spans="1:14">
      <c r="A38" s="12">
        <v>37</v>
      </c>
      <c r="B38" s="12" t="s">
        <v>182</v>
      </c>
      <c r="C38" s="10" t="s"/>
      <c r="D38" s="10" t="s">
        <v>183</v>
      </c>
      <c r="E38" s="12" t="s">
        <v>30</v>
      </c>
      <c r="F38" s="12" t="s">
        <v>31</v>
      </c>
      <c r="G38" s="10" t="s">
        <v>69</v>
      </c>
      <c r="H38" s="10" t="s"/>
      <c r="I38" s="10" t="s">
        <v>184</v>
      </c>
      <c r="J38" s="10" t="s">
        <v>185</v>
      </c>
      <c r="K38" s="12" t="s"/>
      <c r="L38" s="10" t="s"/>
      <c r="M38" s="12" t="s"/>
      <c r="N38" s="12" t="s"/>
    </row>
    <row r="39" spans="1:14">
      <c r="A39" s="12">
        <v>38</v>
      </c>
      <c r="B39" s="12" t="s">
        <v>186</v>
      </c>
      <c r="C39" s="10" t="s"/>
      <c r="D39" s="10" t="s">
        <v>187</v>
      </c>
      <c r="E39" s="12" t="s">
        <v>41</v>
      </c>
      <c r="F39" s="12" t="s">
        <v>31</v>
      </c>
      <c r="G39" s="10" t="s"/>
      <c r="H39" s="10" t="s"/>
      <c r="I39" s="10" t="s"/>
      <c r="J39" s="10" t="s">
        <v>188</v>
      </c>
      <c r="K39" s="12" t="s"/>
      <c r="L39" s="10" t="s"/>
      <c r="M39" s="12" t="s"/>
      <c r="N39" s="12" t="s"/>
    </row>
    <row r="40" spans="1:14">
      <c r="A40" s="12">
        <v>39</v>
      </c>
      <c r="B40" s="12" t="s">
        <v>189</v>
      </c>
      <c r="C40" s="10" t="s"/>
      <c r="D40" s="10" t="s">
        <v>190</v>
      </c>
      <c r="E40" s="12" t="s">
        <v>41</v>
      </c>
      <c r="F40" s="12" t="s">
        <v>31</v>
      </c>
      <c r="G40" s="10" t="s">
        <v>69</v>
      </c>
      <c r="H40" s="10" t="s"/>
      <c r="I40" s="10" t="s">
        <v>191</v>
      </c>
      <c r="J40" s="10" t="s">
        <v>192</v>
      </c>
      <c r="K40" s="12" t="s"/>
      <c r="L40" s="10" t="s"/>
      <c r="M40" s="12" t="s"/>
      <c r="N40" s="12" t="s"/>
    </row>
    <row r="41" spans="1:14">
      <c r="A41" s="12">
        <v>40</v>
      </c>
      <c r="B41" s="12" t="s">
        <v>193</v>
      </c>
      <c r="C41" s="10" t="s"/>
      <c r="D41" s="10" t="s">
        <v>194</v>
      </c>
      <c r="E41" s="12" t="s">
        <v>41</v>
      </c>
      <c r="F41" s="12" t="s">
        <v>84</v>
      </c>
      <c r="G41" s="10" t="s"/>
      <c r="H41" s="10" t="s"/>
      <c r="I41" s="10" t="s">
        <v>195</v>
      </c>
      <c r="J41" s="10" t="s">
        <v>196</v>
      </c>
      <c r="K41" s="12" t="s"/>
      <c r="L41" s="10" t="s"/>
      <c r="M41" s="12" t="s"/>
      <c r="N41" s="12" t="s"/>
    </row>
    <row r="42" spans="1:14">
      <c r="A42" s="12">
        <v>41</v>
      </c>
      <c r="B42" s="12" t="s">
        <v>197</v>
      </c>
      <c r="C42" s="10" t="s"/>
      <c r="D42" s="10" t="s">
        <v>198</v>
      </c>
      <c r="E42" s="12" t="s">
        <v>30</v>
      </c>
      <c r="F42" s="12" t="s">
        <v>31</v>
      </c>
      <c r="G42" s="10" t="s">
        <v>69</v>
      </c>
      <c r="H42" s="10" t="s"/>
      <c r="I42" s="10" t="s">
        <v>199</v>
      </c>
      <c r="J42" s="10" t="s">
        <v>200</v>
      </c>
      <c r="K42" s="12" t="s"/>
      <c r="L42" s="10" t="s"/>
      <c r="M42" s="12" t="s"/>
      <c r="N42" s="12" t="s"/>
    </row>
    <row r="43" spans="1:14">
      <c r="A43" s="12">
        <v>42</v>
      </c>
      <c r="B43" s="12" t="s">
        <v>201</v>
      </c>
      <c r="C43" s="10" t="s"/>
      <c r="D43" s="10" t="s">
        <v>202</v>
      </c>
      <c r="E43" s="12" t="s">
        <v>30</v>
      </c>
      <c r="F43" s="12" t="s">
        <v>31</v>
      </c>
      <c r="G43" s="10" t="s">
        <v>69</v>
      </c>
      <c r="H43" s="10" t="s"/>
      <c r="I43" s="10" t="s">
        <v>203</v>
      </c>
      <c r="J43" s="10" t="s">
        <v>204</v>
      </c>
      <c r="K43" s="12" t="s"/>
      <c r="L43" s="10" t="s"/>
      <c r="M43" s="12" t="s"/>
      <c r="N43" s="12" t="s"/>
    </row>
    <row r="44" spans="1:14">
      <c r="A44" s="12">
        <v>43</v>
      </c>
      <c r="B44" s="12" t="s">
        <v>205</v>
      </c>
      <c r="C44" s="10" t="s"/>
      <c r="D44" s="10" t="s">
        <v>206</v>
      </c>
      <c r="E44" s="12" t="s">
        <v>30</v>
      </c>
      <c r="F44" s="12" t="s">
        <v>31</v>
      </c>
      <c r="G44" s="10" t="s">
        <v>69</v>
      </c>
      <c r="H44" s="10" t="s">
        <v>207</v>
      </c>
      <c r="I44" s="10" t="s">
        <v>208</v>
      </c>
      <c r="J44" s="10" t="s">
        <v>209</v>
      </c>
      <c r="K44" s="12" t="s"/>
      <c r="L44" s="10" t="s"/>
      <c r="M44" s="12" t="s"/>
      <c r="N44" s="12" t="s"/>
    </row>
    <row r="45" spans="1:14">
      <c r="A45" s="12">
        <v>44</v>
      </c>
      <c r="B45" s="12" t="s">
        <v>210</v>
      </c>
      <c r="C45" s="10" t="s"/>
      <c r="D45" s="10" t="s">
        <v>211</v>
      </c>
      <c r="E45" s="12" t="s">
        <v>41</v>
      </c>
      <c r="F45" s="12" t="s">
        <v>31</v>
      </c>
      <c r="G45" s="10" t="s"/>
      <c r="H45" s="10" t="s"/>
      <c r="I45" s="10" t="s">
        <v>212</v>
      </c>
      <c r="J45" s="10" t="s">
        <v>213</v>
      </c>
      <c r="K45" s="12" t="s"/>
      <c r="L45" s="10" t="s"/>
      <c r="M45" s="12" t="s"/>
      <c r="N45" s="12" t="s"/>
    </row>
    <row r="46" spans="1:14">
      <c r="A46" s="12">
        <v>45</v>
      </c>
      <c r="B46" s="12" t="s">
        <v>214</v>
      </c>
      <c r="C46" s="10" t="s"/>
      <c r="D46" s="10" t="s">
        <v>215</v>
      </c>
      <c r="E46" s="12" t="s">
        <v>41</v>
      </c>
      <c r="F46" s="12" t="s">
        <v>31</v>
      </c>
      <c r="G46" s="10" t="s">
        <v>69</v>
      </c>
      <c r="H46" s="10" t="s"/>
      <c r="I46" s="10" t="s">
        <v>216</v>
      </c>
      <c r="J46" s="10" t="s">
        <v>217</v>
      </c>
      <c r="K46" s="12" t="s"/>
      <c r="L46" s="10" t="s"/>
      <c r="M46" s="12" t="s"/>
      <c r="N46" s="12" t="s"/>
    </row>
    <row r="47" spans="1:14">
      <c r="A47" s="12">
        <v>46</v>
      </c>
      <c r="B47" s="12" t="s">
        <v>218</v>
      </c>
      <c r="C47" s="10" t="s"/>
      <c r="D47" s="10" t="s">
        <v>219</v>
      </c>
      <c r="E47" s="12" t="s">
        <v>105</v>
      </c>
      <c r="F47" s="12" t="s">
        <v>31</v>
      </c>
      <c r="G47" s="10" t="s"/>
      <c r="H47" s="10" t="s"/>
      <c r="I47" s="10" t="s">
        <v>220</v>
      </c>
      <c r="J47" s="10" t="s">
        <v>221</v>
      </c>
      <c r="K47" s="12" t="s"/>
      <c r="L47" s="10" t="s"/>
      <c r="M47" s="12" t="s"/>
      <c r="N47" s="12" t="s"/>
    </row>
    <row r="48" spans="1:14">
      <c r="A48" s="12">
        <v>47</v>
      </c>
      <c r="B48" s="12" t="s">
        <v>222</v>
      </c>
      <c r="C48" s="10" t="s"/>
      <c r="D48" s="10" t="s">
        <v>223</v>
      </c>
      <c r="E48" s="12" t="s">
        <v>30</v>
      </c>
      <c r="F48" s="12" t="s">
        <v>31</v>
      </c>
      <c r="G48" s="10" t="s"/>
      <c r="H48" s="10" t="s"/>
      <c r="I48" s="10" t="s">
        <v>224</v>
      </c>
      <c r="J48" s="10" t="s">
        <v>225</v>
      </c>
      <c r="K48" s="12" t="s"/>
      <c r="L48" s="10" t="s"/>
      <c r="M48" s="12" t="s"/>
      <c r="N48" s="12" t="s"/>
    </row>
    <row r="49" spans="1:14">
      <c r="A49" s="12">
        <v>48</v>
      </c>
      <c r="B49" s="12" t="s">
        <v>226</v>
      </c>
      <c r="C49" s="10" t="s"/>
      <c r="D49" s="10" t="s">
        <v>227</v>
      </c>
      <c r="E49" s="12" t="s">
        <v>41</v>
      </c>
      <c r="F49" s="12" t="s">
        <v>31</v>
      </c>
      <c r="G49" s="10" t="s"/>
      <c r="H49" s="10" t="s"/>
      <c r="I49" s="10" t="s">
        <v>228</v>
      </c>
      <c r="J49" s="10" t="s">
        <v>229</v>
      </c>
      <c r="K49" s="12" t="s"/>
      <c r="L49" s="10" t="s"/>
      <c r="M49" s="12" t="s"/>
      <c r="N49" s="12" t="s"/>
    </row>
    <row r="50" spans="1:14">
      <c r="A50" s="12">
        <v>49</v>
      </c>
      <c r="B50" s="12" t="s">
        <v>230</v>
      </c>
      <c r="C50" s="10" t="s"/>
      <c r="D50" s="10" t="s">
        <v>231</v>
      </c>
      <c r="E50" s="12" t="s">
        <v>41</v>
      </c>
      <c r="F50" s="12" t="s">
        <v>84</v>
      </c>
      <c r="G50" s="10" t="s"/>
      <c r="H50" s="10" t="s"/>
      <c r="I50" s="10" t="s">
        <v>232</v>
      </c>
      <c r="J50" s="10" t="s">
        <v>233</v>
      </c>
      <c r="K50" s="12" t="s"/>
      <c r="L50" s="10" t="s"/>
      <c r="M50" s="12" t="s"/>
      <c r="N50" s="12" t="s"/>
    </row>
    <row r="51" spans="1:14">
      <c r="A51" s="12">
        <v>50</v>
      </c>
      <c r="B51" s="12" t="s">
        <v>234</v>
      </c>
      <c r="C51" s="10" t="s"/>
      <c r="D51" s="10" t="s">
        <v>235</v>
      </c>
      <c r="E51" s="12" t="s">
        <v>41</v>
      </c>
      <c r="F51" s="12" t="s">
        <v>84</v>
      </c>
      <c r="G51" s="10" t="s"/>
      <c r="H51" s="10" t="s"/>
      <c r="I51" s="10" t="s">
        <v>236</v>
      </c>
      <c r="J51" s="10" t="s">
        <v>237</v>
      </c>
      <c r="K51" s="12" t="s"/>
      <c r="L51" s="10" t="s"/>
      <c r="M51" s="12" t="s"/>
      <c r="N51" s="12" t="s"/>
    </row>
    <row r="52" spans="1:14">
      <c r="A52" s="12">
        <v>51</v>
      </c>
      <c r="B52" s="12" t="s">
        <v>238</v>
      </c>
      <c r="C52" s="10" t="s"/>
      <c r="D52" s="10" t="s">
        <v>239</v>
      </c>
      <c r="E52" s="12" t="s">
        <v>30</v>
      </c>
      <c r="F52" s="12" t="s">
        <v>84</v>
      </c>
      <c r="G52" s="10" t="s"/>
      <c r="H52" s="10" t="s"/>
      <c r="I52" s="10" t="s">
        <v>240</v>
      </c>
      <c r="J52" s="10" t="s">
        <v>241</v>
      </c>
      <c r="K52" s="12" t="s"/>
      <c r="L52" s="10" t="s"/>
      <c r="M52" s="12" t="s"/>
      <c r="N52" s="12" t="s"/>
    </row>
    <row r="53" spans="1:14">
      <c r="A53" s="12">
        <v>52</v>
      </c>
      <c r="B53" s="12" t="s">
        <v>242</v>
      </c>
      <c r="C53" s="10" t="s"/>
      <c r="D53" s="10" t="s">
        <v>243</v>
      </c>
      <c r="E53" s="12" t="s">
        <v>41</v>
      </c>
      <c r="F53" s="12" t="s">
        <v>84</v>
      </c>
      <c r="G53" s="10" t="s"/>
      <c r="H53" s="10" t="s"/>
      <c r="I53" s="10" t="s">
        <v>244</v>
      </c>
      <c r="J53" s="10" t="s">
        <v>245</v>
      </c>
      <c r="K53" s="12" t="s"/>
      <c r="L53" s="10" t="s"/>
      <c r="M53" s="12" t="s"/>
      <c r="N53" s="12" t="s"/>
    </row>
    <row r="54" spans="1:14">
      <c r="A54" s="12">
        <v>53</v>
      </c>
      <c r="B54" s="12" t="s">
        <v>246</v>
      </c>
      <c r="C54" s="10" t="s"/>
      <c r="D54" s="10" t="s">
        <v>247</v>
      </c>
      <c r="E54" s="12" t="s">
        <v>41</v>
      </c>
      <c r="F54" s="12" t="s">
        <v>84</v>
      </c>
      <c r="G54" s="10" t="s"/>
      <c r="H54" s="10" t="s"/>
      <c r="I54" s="10" t="s">
        <v>248</v>
      </c>
      <c r="J54" s="10" t="s">
        <v>249</v>
      </c>
      <c r="K54" s="12" t="s"/>
      <c r="L54" s="10" t="s"/>
      <c r="M54" s="12" t="s"/>
      <c r="N54" s="12" t="s"/>
    </row>
    <row r="55" spans="1:14">
      <c r="A55" s="12">
        <v>54</v>
      </c>
      <c r="B55" s="12" t="s">
        <v>250</v>
      </c>
      <c r="C55" s="10" t="s"/>
      <c r="D55" s="10" t="s">
        <v>251</v>
      </c>
      <c r="E55" s="12" t="s">
        <v>41</v>
      </c>
      <c r="F55" s="12" t="s">
        <v>84</v>
      </c>
      <c r="G55" s="10" t="s"/>
      <c r="H55" s="10" t="s"/>
      <c r="I55" s="10" t="s">
        <v>252</v>
      </c>
      <c r="J55" s="10" t="s">
        <v>253</v>
      </c>
      <c r="K55" s="12" t="s"/>
      <c r="L55" s="10" t="s"/>
      <c r="M55" s="12" t="s"/>
      <c r="N55" s="12" t="s"/>
    </row>
    <row r="56" spans="1:14">
      <c r="A56" s="12">
        <v>55</v>
      </c>
      <c r="B56" s="12" t="s">
        <v>254</v>
      </c>
      <c r="C56" s="10" t="s"/>
      <c r="D56" s="10" t="s">
        <v>255</v>
      </c>
      <c r="E56" s="12" t="s">
        <v>105</v>
      </c>
      <c r="F56" s="12" t="s">
        <v>84</v>
      </c>
      <c r="G56" s="10" t="s"/>
      <c r="H56" s="10" t="s"/>
      <c r="I56" s="10" t="s">
        <v>256</v>
      </c>
      <c r="J56" s="10" t="s">
        <v>257</v>
      </c>
      <c r="K56" s="12" t="s"/>
      <c r="L56" s="10" t="s"/>
      <c r="M56" s="12" t="s"/>
      <c r="N56" s="12" t="s"/>
    </row>
    <row r="57" spans="1:14">
      <c r="A57" s="12">
        <v>56</v>
      </c>
      <c r="B57" s="12" t="s">
        <v>258</v>
      </c>
      <c r="C57" s="10" t="s"/>
      <c r="D57" s="10" t="s">
        <v>259</v>
      </c>
      <c r="E57" s="12" t="s">
        <v>41</v>
      </c>
      <c r="F57" s="12" t="s">
        <v>31</v>
      </c>
      <c r="G57" s="10" t="s"/>
      <c r="H57" s="10" t="s"/>
      <c r="I57" s="10" t="s"/>
      <c r="J57" s="10" t="s">
        <v>260</v>
      </c>
      <c r="K57" s="12" t="s"/>
      <c r="L57" s="10" t="s"/>
      <c r="M57" s="12" t="s"/>
      <c r="N57" s="12" t="s"/>
    </row>
    <row r="58" spans="1:14">
      <c r="A58" s="12">
        <v>57</v>
      </c>
      <c r="B58" s="12" t="s">
        <v>261</v>
      </c>
      <c r="C58" s="10" t="s"/>
      <c r="D58" s="10" t="s">
        <v>262</v>
      </c>
      <c r="E58" s="12" t="s">
        <v>30</v>
      </c>
      <c r="F58" s="12" t="s">
        <v>31</v>
      </c>
      <c r="G58" s="10" t="s"/>
      <c r="H58" s="10" t="s"/>
      <c r="I58" s="10" t="s">
        <v>263</v>
      </c>
      <c r="J58" s="10" t="s">
        <v>264</v>
      </c>
      <c r="K58" s="12" t="s"/>
      <c r="L58" s="10" t="s"/>
      <c r="M58" s="12" t="s"/>
      <c r="N58" s="12" t="s"/>
    </row>
    <row r="59" spans="1:14">
      <c r="A59" s="12">
        <v>58</v>
      </c>
      <c r="B59" s="12" t="s">
        <v>265</v>
      </c>
      <c r="C59" s="10" t="s"/>
      <c r="D59" s="10" t="s">
        <v>266</v>
      </c>
      <c r="E59" s="12" t="s">
        <v>41</v>
      </c>
      <c r="F59" s="12" t="s">
        <v>84</v>
      </c>
      <c r="G59" s="10" t="s"/>
      <c r="H59" s="10" t="s"/>
      <c r="I59" s="10" t="s">
        <v>267</v>
      </c>
      <c r="J59" s="10" t="s">
        <v>268</v>
      </c>
      <c r="K59" s="12" t="s"/>
      <c r="L59" s="10" t="s"/>
      <c r="M59" s="12" t="s"/>
      <c r="N59" s="12" t="s"/>
    </row>
    <row r="60" spans="1:14">
      <c r="A60" s="12">
        <v>59</v>
      </c>
      <c r="B60" s="12" t="s">
        <v>269</v>
      </c>
      <c r="C60" s="10" t="s"/>
      <c r="D60" s="10" t="s">
        <v>270</v>
      </c>
      <c r="E60" s="12" t="s">
        <v>41</v>
      </c>
      <c r="F60" s="12" t="s">
        <v>31</v>
      </c>
      <c r="G60" s="10" t="s"/>
      <c r="H60" s="10" t="s"/>
      <c r="I60" s="10" t="s">
        <v>271</v>
      </c>
      <c r="J60" s="10" t="s">
        <v>272</v>
      </c>
      <c r="K60" s="12" t="s"/>
      <c r="L60" s="10" t="s"/>
      <c r="M60" s="12" t="s"/>
      <c r="N60" s="12" t="s"/>
    </row>
    <row r="61" spans="1:14">
      <c r="A61" s="12">
        <v>60</v>
      </c>
      <c r="B61" s="12" t="s">
        <v>273</v>
      </c>
      <c r="C61" s="10" t="s"/>
      <c r="D61" s="10" t="s">
        <v>274</v>
      </c>
      <c r="E61" s="12" t="s">
        <v>41</v>
      </c>
      <c r="F61" s="12" t="s">
        <v>31</v>
      </c>
      <c r="G61" s="10" t="s"/>
      <c r="H61" s="10" t="s"/>
      <c r="I61" s="10" t="s">
        <v>275</v>
      </c>
      <c r="J61" s="10" t="s">
        <v>276</v>
      </c>
      <c r="K61" s="12" t="s"/>
      <c r="L61" s="10" t="s"/>
      <c r="M61" s="12" t="s"/>
      <c r="N61" s="12" t="s"/>
    </row>
    <row r="62" spans="1:14">
      <c r="A62" s="12">
        <v>61</v>
      </c>
      <c r="B62" s="12" t="s">
        <v>277</v>
      </c>
      <c r="C62" s="10" t="s"/>
      <c r="D62" s="10" t="s">
        <v>278</v>
      </c>
      <c r="E62" s="12" t="s">
        <v>105</v>
      </c>
      <c r="F62" s="12" t="s">
        <v>31</v>
      </c>
      <c r="G62" s="10" t="s"/>
      <c r="H62" s="10" t="s"/>
      <c r="I62" s="10" t="s"/>
      <c r="J62" s="10" t="s">
        <v>279</v>
      </c>
      <c r="K62" s="12" t="s"/>
      <c r="L62" s="10" t="s"/>
      <c r="M62" s="12" t="s"/>
      <c r="N62" s="12" t="s"/>
    </row>
    <row r="63" spans="1:14">
      <c r="A63" s="12">
        <v>62</v>
      </c>
      <c r="B63" s="12" t="s">
        <v>280</v>
      </c>
      <c r="C63" s="10" t="s"/>
      <c r="D63" s="10" t="s">
        <v>281</v>
      </c>
      <c r="E63" s="12" t="s">
        <v>30</v>
      </c>
      <c r="F63" s="12" t="s">
        <v>31</v>
      </c>
      <c r="G63" s="10" t="s"/>
      <c r="H63" s="10" t="s"/>
      <c r="I63" s="10" t="s">
        <v>282</v>
      </c>
      <c r="J63" s="10" t="s">
        <v>283</v>
      </c>
      <c r="K63" s="12" t="s"/>
      <c r="L63" s="10" t="s"/>
      <c r="M63" s="12" t="s"/>
      <c r="N63" s="12" t="s"/>
    </row>
    <row r="64" spans="1:14">
      <c r="A64" s="12">
        <v>63</v>
      </c>
      <c r="B64" s="12" t="s">
        <v>284</v>
      </c>
      <c r="C64" s="10" t="s"/>
      <c r="D64" s="10" t="s">
        <v>285</v>
      </c>
      <c r="E64" s="12" t="s">
        <v>41</v>
      </c>
      <c r="F64" s="12" t="s">
        <v>84</v>
      </c>
      <c r="G64" s="10" t="s"/>
      <c r="H64" s="10" t="s"/>
      <c r="I64" s="10" t="s">
        <v>286</v>
      </c>
      <c r="J64" s="10" t="s">
        <v>287</v>
      </c>
      <c r="K64" s="12" t="s"/>
      <c r="L64" s="10" t="s"/>
      <c r="M64" s="12" t="s"/>
      <c r="N64" s="12" t="s"/>
    </row>
    <row r="65" spans="1:14">
      <c r="A65" s="12">
        <v>64</v>
      </c>
      <c r="B65" s="12" t="s">
        <v>288</v>
      </c>
      <c r="C65" s="10" t="s"/>
      <c r="D65" s="10" t="s">
        <v>289</v>
      </c>
      <c r="E65" s="12" t="s">
        <v>41</v>
      </c>
      <c r="F65" s="12" t="s">
        <v>84</v>
      </c>
      <c r="G65" s="10" t="s"/>
      <c r="H65" s="10" t="s"/>
      <c r="I65" s="10" t="s">
        <v>290</v>
      </c>
      <c r="J65" s="10" t="s">
        <v>291</v>
      </c>
      <c r="K65" s="12" t="s"/>
      <c r="L65" s="10" t="s"/>
      <c r="M65" s="12" t="s"/>
      <c r="N65" s="12" t="s"/>
    </row>
    <row r="66" spans="1:14">
      <c r="A66" s="12">
        <v>65</v>
      </c>
      <c r="B66" s="12" t="s">
        <v>292</v>
      </c>
      <c r="C66" s="10" t="s"/>
      <c r="D66" s="10" t="s">
        <v>293</v>
      </c>
      <c r="E66" s="12" t="s">
        <v>41</v>
      </c>
      <c r="F66" s="12" t="s">
        <v>84</v>
      </c>
      <c r="G66" s="10" t="s"/>
      <c r="H66" s="10" t="s"/>
      <c r="I66" s="10" t="s">
        <v>294</v>
      </c>
      <c r="J66" s="10" t="s">
        <v>295</v>
      </c>
      <c r="K66" s="12" t="s"/>
      <c r="L66" s="10" t="s"/>
      <c r="M66" s="12" t="s"/>
      <c r="N66" s="12" t="s"/>
    </row>
    <row r="67" spans="1:14">
      <c r="A67" s="12">
        <v>66</v>
      </c>
      <c r="B67" s="12" t="s">
        <v>296</v>
      </c>
      <c r="C67" s="10" t="s"/>
      <c r="D67" s="10" t="s">
        <v>297</v>
      </c>
      <c r="E67" s="12" t="s">
        <v>41</v>
      </c>
      <c r="F67" s="12" t="s">
        <v>84</v>
      </c>
      <c r="G67" s="10" t="s"/>
      <c r="H67" s="10" t="s"/>
      <c r="I67" s="10" t="s">
        <v>298</v>
      </c>
      <c r="J67" s="10" t="s">
        <v>299</v>
      </c>
      <c r="K67" s="12" t="s"/>
      <c r="L67" s="10" t="s"/>
      <c r="M67" s="12" t="s"/>
      <c r="N67" s="12" t="s"/>
    </row>
    <row r="68" spans="1:14">
      <c r="A68" s="12">
        <v>67</v>
      </c>
      <c r="B68" s="12" t="s">
        <v>300</v>
      </c>
      <c r="C68" s="10" t="s"/>
      <c r="D68" s="10" t="s">
        <v>301</v>
      </c>
      <c r="E68" s="12" t="s">
        <v>41</v>
      </c>
      <c r="F68" s="12" t="s">
        <v>84</v>
      </c>
      <c r="G68" s="10" t="s"/>
      <c r="H68" s="10" t="s"/>
      <c r="I68" s="10" t="s">
        <v>302</v>
      </c>
      <c r="J68" s="10" t="s">
        <v>303</v>
      </c>
      <c r="K68" s="12" t="s"/>
      <c r="L68" s="10" t="s"/>
      <c r="M68" s="12" t="s"/>
      <c r="N68" s="12" t="s"/>
    </row>
    <row r="69" spans="1:14">
      <c r="A69" s="12">
        <v>68</v>
      </c>
      <c r="B69" s="12" t="s">
        <v>304</v>
      </c>
      <c r="C69" s="10" t="s"/>
      <c r="D69" s="10" t="s">
        <v>305</v>
      </c>
      <c r="E69" s="12" t="s">
        <v>41</v>
      </c>
      <c r="F69" s="12" t="s">
        <v>84</v>
      </c>
      <c r="G69" s="10" t="s"/>
      <c r="H69" s="10" t="s"/>
      <c r="I69" s="10" t="s">
        <v>306</v>
      </c>
      <c r="J69" s="10" t="s">
        <v>307</v>
      </c>
      <c r="K69" s="12" t="s"/>
      <c r="L69" s="10" t="s"/>
      <c r="M69" s="12" t="s"/>
      <c r="N69" s="12" t="s"/>
    </row>
    <row r="70" spans="1:14">
      <c r="A70" s="12">
        <v>69</v>
      </c>
      <c r="B70" s="12" t="s">
        <v>308</v>
      </c>
      <c r="C70" s="10" t="s"/>
      <c r="D70" s="10" t="s">
        <v>309</v>
      </c>
      <c r="E70" s="12" t="s">
        <v>30</v>
      </c>
      <c r="F70" s="12" t="s">
        <v>31</v>
      </c>
      <c r="G70" s="10" t="s"/>
      <c r="H70" s="10" t="s"/>
      <c r="I70" s="10" t="s">
        <v>310</v>
      </c>
      <c r="J70" s="10" t="s">
        <v>311</v>
      </c>
      <c r="K70" s="12" t="s"/>
      <c r="L70" s="10" t="s"/>
      <c r="M70" s="12" t="s"/>
      <c r="N70" s="12" t="s"/>
    </row>
    <row r="71" spans="1:14">
      <c r="A71" s="12">
        <v>70</v>
      </c>
      <c r="B71" s="12" t="s">
        <v>312</v>
      </c>
      <c r="C71" s="10" t="s"/>
      <c r="D71" s="10" t="s">
        <v>313</v>
      </c>
      <c r="E71" s="12" t="s">
        <v>41</v>
      </c>
      <c r="F71" s="12" t="s">
        <v>84</v>
      </c>
      <c r="G71" s="10" t="s"/>
      <c r="H71" s="10" t="s"/>
      <c r="I71" s="10" t="s"/>
      <c r="J71" s="10" t="s">
        <v>314</v>
      </c>
      <c r="K71" s="12" t="s"/>
      <c r="L71" s="10" t="s"/>
      <c r="M71" s="12" t="s"/>
      <c r="N71" s="12" t="s"/>
    </row>
    <row r="72" spans="1:14">
      <c r="A72" s="12">
        <v>71</v>
      </c>
      <c r="B72" s="12" t="s">
        <v>315</v>
      </c>
      <c r="C72" s="10" t="s"/>
      <c r="D72" s="10" t="s">
        <v>316</v>
      </c>
      <c r="E72" s="12" t="s">
        <v>41</v>
      </c>
      <c r="F72" s="12" t="s">
        <v>84</v>
      </c>
      <c r="G72" s="10" t="s"/>
      <c r="H72" s="10" t="s"/>
      <c r="I72" s="10" t="s">
        <v>317</v>
      </c>
      <c r="J72" s="10" t="s">
        <v>318</v>
      </c>
      <c r="K72" s="12" t="s"/>
      <c r="L72" s="10" t="s"/>
      <c r="M72" s="12" t="s"/>
      <c r="N72" s="12" t="s"/>
    </row>
    <row r="73" spans="1:14">
      <c r="A73" s="12">
        <v>72</v>
      </c>
      <c r="B73" s="12" t="s">
        <v>319</v>
      </c>
      <c r="C73" s="10" t="s"/>
      <c r="D73" s="10" t="s">
        <v>320</v>
      </c>
      <c r="E73" s="12" t="s">
        <v>41</v>
      </c>
      <c r="F73" s="12" t="s">
        <v>84</v>
      </c>
      <c r="G73" s="10" t="s"/>
      <c r="H73" s="10" t="s"/>
      <c r="I73" s="10" t="s">
        <v>321</v>
      </c>
      <c r="J73" s="10" t="s">
        <v>322</v>
      </c>
      <c r="K73" s="12" t="s"/>
      <c r="L73" s="10" t="s"/>
      <c r="M73" s="12" t="s"/>
      <c r="N73" s="12" t="s"/>
    </row>
    <row r="74" spans="1:14">
      <c r="A74" s="12">
        <v>73</v>
      </c>
      <c r="B74" s="12" t="s">
        <v>323</v>
      </c>
      <c r="C74" s="10" t="s"/>
      <c r="D74" s="10" t="s">
        <v>324</v>
      </c>
      <c r="E74" s="12" t="s">
        <v>105</v>
      </c>
      <c r="F74" s="12" t="s">
        <v>31</v>
      </c>
      <c r="G74" s="10" t="s"/>
      <c r="H74" s="10" t="s"/>
      <c r="I74" s="10" t="s"/>
      <c r="J74" s="10" t="s">
        <v>325</v>
      </c>
      <c r="K74" s="12" t="s"/>
      <c r="L74" s="10" t="s"/>
      <c r="M74" s="12" t="s"/>
      <c r="N74" s="12" t="s"/>
    </row>
    <row r="75" spans="1:14">
      <c r="A75" s="12">
        <v>74</v>
      </c>
      <c r="B75" s="12" t="s">
        <v>326</v>
      </c>
      <c r="C75" s="10" t="s"/>
      <c r="D75" s="10" t="s">
        <v>327</v>
      </c>
      <c r="E75" s="12" t="s">
        <v>30</v>
      </c>
      <c r="F75" s="12" t="s">
        <v>31</v>
      </c>
      <c r="G75" s="10" t="s"/>
      <c r="H75" s="10" t="s"/>
      <c r="I75" s="10" t="s">
        <v>328</v>
      </c>
      <c r="J75" s="10" t="s">
        <v>329</v>
      </c>
      <c r="K75" s="12" t="s"/>
      <c r="L75" s="10" t="s"/>
      <c r="M75" s="12" t="s"/>
      <c r="N75" s="12" t="s"/>
    </row>
    <row r="76" spans="1:14">
      <c r="A76" s="12">
        <v>75</v>
      </c>
      <c r="B76" s="12" t="s">
        <v>330</v>
      </c>
      <c r="C76" s="10" t="s"/>
      <c r="D76" s="10" t="s">
        <v>331</v>
      </c>
      <c r="E76" s="12" t="s">
        <v>30</v>
      </c>
      <c r="F76" s="12" t="s">
        <v>84</v>
      </c>
      <c r="G76" s="10" t="s"/>
      <c r="H76" s="10" t="s"/>
      <c r="I76" s="10" t="s">
        <v>332</v>
      </c>
      <c r="J76" s="10" t="s">
        <v>333</v>
      </c>
      <c r="K76" s="12" t="s"/>
      <c r="L76" s="10" t="s"/>
      <c r="M76" s="12" t="s"/>
      <c r="N76" s="12" t="s"/>
    </row>
    <row r="77" spans="1:14">
      <c r="A77" s="12">
        <v>76</v>
      </c>
      <c r="B77" s="12" t="s">
        <v>334</v>
      </c>
      <c r="C77" s="10" t="s"/>
      <c r="D77" s="10" t="s">
        <v>335</v>
      </c>
      <c r="E77" s="12" t="s">
        <v>30</v>
      </c>
      <c r="F77" s="12" t="s">
        <v>84</v>
      </c>
      <c r="G77" s="10" t="s"/>
      <c r="H77" s="10" t="s"/>
      <c r="I77" s="10" t="s">
        <v>336</v>
      </c>
      <c r="J77" s="10" t="s">
        <v>337</v>
      </c>
      <c r="K77" s="12" t="s"/>
      <c r="L77" s="10" t="s"/>
      <c r="M77" s="12" t="s"/>
      <c r="N77" s="12" t="s"/>
    </row>
    <row r="78" spans="1:14">
      <c r="A78" s="12">
        <v>77</v>
      </c>
      <c r="B78" s="12" t="s">
        <v>338</v>
      </c>
      <c r="C78" s="10" t="s"/>
      <c r="D78" s="10" t="s">
        <v>339</v>
      </c>
      <c r="E78" s="12" t="s">
        <v>30</v>
      </c>
      <c r="F78" s="12" t="s">
        <v>84</v>
      </c>
      <c r="G78" s="10" t="s"/>
      <c r="H78" s="10" t="s"/>
      <c r="I78" s="10" t="s">
        <v>340</v>
      </c>
      <c r="J78" s="10" t="s">
        <v>341</v>
      </c>
      <c r="K78" s="12" t="s"/>
      <c r="L78" s="10" t="s"/>
      <c r="M78" s="12" t="s"/>
      <c r="N78" s="12" t="s"/>
    </row>
    <row r="79" spans="1:14">
      <c r="A79" s="12">
        <v>78</v>
      </c>
      <c r="B79" s="12" t="s">
        <v>342</v>
      </c>
      <c r="C79" s="10" t="s"/>
      <c r="D79" s="10" t="s">
        <v>343</v>
      </c>
      <c r="E79" s="12" t="s">
        <v>41</v>
      </c>
      <c r="F79" s="12" t="s">
        <v>84</v>
      </c>
      <c r="G79" s="10" t="s"/>
      <c r="H79" s="10" t="s"/>
      <c r="I79" s="10" t="s">
        <v>344</v>
      </c>
      <c r="J79" s="10" t="s">
        <v>345</v>
      </c>
      <c r="K79" s="12" t="s"/>
      <c r="L79" s="10" t="s"/>
      <c r="M79" s="12" t="s"/>
      <c r="N79" s="12" t="s"/>
    </row>
    <row r="80" spans="1:14">
      <c r="A80" s="12">
        <v>79</v>
      </c>
      <c r="B80" s="12" t="s">
        <v>346</v>
      </c>
      <c r="C80" s="10" t="s"/>
      <c r="D80" s="10" t="s">
        <v>347</v>
      </c>
      <c r="E80" s="12" t="s">
        <v>41</v>
      </c>
      <c r="F80" s="12" t="s">
        <v>84</v>
      </c>
      <c r="G80" s="10" t="s"/>
      <c r="H80" s="10" t="s"/>
      <c r="I80" s="10" t="s">
        <v>348</v>
      </c>
      <c r="J80" s="10" t="s">
        <v>349</v>
      </c>
      <c r="K80" s="12" t="s"/>
      <c r="L80" s="10" t="s"/>
      <c r="M80" s="12" t="s"/>
      <c r="N80" s="12" t="s"/>
    </row>
    <row r="81" spans="1:14">
      <c r="A81" s="12">
        <v>80</v>
      </c>
      <c r="B81" s="12" t="s">
        <v>350</v>
      </c>
      <c r="C81" s="10" t="s"/>
      <c r="D81" s="10" t="s">
        <v>351</v>
      </c>
      <c r="E81" s="12" t="s">
        <v>41</v>
      </c>
      <c r="F81" s="12" t="s">
        <v>84</v>
      </c>
      <c r="G81" s="10" t="s"/>
      <c r="H81" s="10" t="s"/>
      <c r="I81" s="10" t="s">
        <v>352</v>
      </c>
      <c r="J81" s="10" t="s">
        <v>353</v>
      </c>
      <c r="K81" s="12" t="s"/>
      <c r="L81" s="10" t="s"/>
      <c r="M81" s="12" t="s"/>
      <c r="N81" s="12" t="s"/>
    </row>
    <row r="82" spans="1:14">
      <c r="A82" s="12">
        <v>81</v>
      </c>
      <c r="B82" s="12" t="s">
        <v>354</v>
      </c>
      <c r="C82" s="10" t="s"/>
      <c r="D82" s="10" t="s">
        <v>355</v>
      </c>
      <c r="E82" s="12" t="s">
        <v>41</v>
      </c>
      <c r="F82" s="12" t="s">
        <v>84</v>
      </c>
      <c r="G82" s="10" t="s"/>
      <c r="H82" s="10" t="s"/>
      <c r="I82" s="10" t="s">
        <v>356</v>
      </c>
      <c r="J82" s="10" t="s">
        <v>357</v>
      </c>
      <c r="K82" s="12" t="s"/>
      <c r="L82" s="10" t="s"/>
      <c r="M82" s="12" t="s"/>
      <c r="N82" s="12" t="s"/>
    </row>
    <row r="83" spans="1:14">
      <c r="A83" s="12">
        <v>82</v>
      </c>
      <c r="B83" s="12" t="s">
        <v>358</v>
      </c>
      <c r="C83" s="10" t="s"/>
      <c r="D83" s="10" t="s">
        <v>359</v>
      </c>
      <c r="E83" s="12" t="s">
        <v>30</v>
      </c>
      <c r="F83" s="12" t="s">
        <v>31</v>
      </c>
      <c r="G83" s="10" t="s"/>
      <c r="H83" s="10" t="s"/>
      <c r="I83" s="10" t="s">
        <v>360</v>
      </c>
      <c r="J83" s="10" t="s">
        <v>361</v>
      </c>
      <c r="K83" s="12" t="s"/>
      <c r="L83" s="10" t="s"/>
      <c r="M83" s="12" t="s"/>
      <c r="N83" s="12" t="s"/>
    </row>
    <row r="84" spans="1:14">
      <c r="A84" s="12">
        <v>83</v>
      </c>
      <c r="B84" s="12" t="s">
        <v>362</v>
      </c>
      <c r="C84" s="10" t="s"/>
      <c r="D84" s="10" t="s">
        <v>363</v>
      </c>
      <c r="E84" s="12" t="s">
        <v>30</v>
      </c>
      <c r="F84" s="12" t="s">
        <v>84</v>
      </c>
      <c r="G84" s="10" t="s"/>
      <c r="H84" s="10" t="s"/>
      <c r="I84" s="10" t="s">
        <v>364</v>
      </c>
      <c r="J84" s="10" t="s">
        <v>365</v>
      </c>
      <c r="K84" s="12" t="s"/>
      <c r="L84" s="10" t="s"/>
      <c r="M84" s="12" t="s"/>
      <c r="N84" s="12" t="s"/>
    </row>
    <row r="85" spans="1:14">
      <c r="A85" s="12">
        <v>84</v>
      </c>
      <c r="B85" s="12" t="s">
        <v>366</v>
      </c>
      <c r="C85" s="10" t="s"/>
      <c r="D85" s="10" t="s">
        <v>367</v>
      </c>
      <c r="E85" s="12" t="s">
        <v>41</v>
      </c>
      <c r="F85" s="12" t="s">
        <v>84</v>
      </c>
      <c r="G85" s="10" t="s"/>
      <c r="H85" s="10" t="s"/>
      <c r="I85" s="10" t="s">
        <v>368</v>
      </c>
      <c r="J85" s="10" t="s">
        <v>369</v>
      </c>
      <c r="K85" s="12" t="s"/>
      <c r="L85" s="10" t="s"/>
      <c r="M85" s="12" t="s"/>
      <c r="N85" s="12" t="s"/>
    </row>
    <row r="86" spans="1:14">
      <c r="A86" s="12">
        <v>85</v>
      </c>
      <c r="B86" s="12" t="s">
        <v>370</v>
      </c>
      <c r="C86" s="10" t="s"/>
      <c r="D86" s="10" t="s">
        <v>371</v>
      </c>
      <c r="E86" s="12" t="s">
        <v>41</v>
      </c>
      <c r="F86" s="12" t="s">
        <v>84</v>
      </c>
      <c r="G86" s="10" t="s"/>
      <c r="H86" s="10" t="s"/>
      <c r="I86" s="10" t="s">
        <v>372</v>
      </c>
      <c r="J86" s="10" t="s">
        <v>373</v>
      </c>
      <c r="K86" s="12" t="s"/>
      <c r="L86" s="10" t="s"/>
      <c r="M86" s="12" t="s"/>
      <c r="N86" s="12" t="s"/>
    </row>
    <row r="87" spans="1:14">
      <c r="A87" s="12">
        <v>86</v>
      </c>
      <c r="B87" s="12" t="s">
        <v>374</v>
      </c>
      <c r="C87" s="10" t="s"/>
      <c r="D87" s="10" t="s">
        <v>375</v>
      </c>
      <c r="E87" s="12" t="s">
        <v>41</v>
      </c>
      <c r="F87" s="12" t="s">
        <v>84</v>
      </c>
      <c r="G87" s="10" t="s"/>
      <c r="H87" s="10" t="s"/>
      <c r="I87" s="10" t="s">
        <v>376</v>
      </c>
      <c r="J87" s="10" t="s">
        <v>377</v>
      </c>
      <c r="K87" s="12" t="s"/>
      <c r="L87" s="10" t="s"/>
      <c r="M87" s="12" t="s"/>
      <c r="N87" s="12" t="s"/>
    </row>
    <row r="88" spans="1:14">
      <c r="A88" s="12">
        <v>87</v>
      </c>
      <c r="B88" s="12" t="s">
        <v>378</v>
      </c>
      <c r="C88" s="10" t="s"/>
      <c r="D88" s="10" t="s">
        <v>379</v>
      </c>
      <c r="E88" s="12" t="s">
        <v>41</v>
      </c>
      <c r="F88" s="12" t="s">
        <v>31</v>
      </c>
      <c r="G88" s="10" t="s"/>
      <c r="H88" s="10" t="s"/>
      <c r="I88" s="10" t="s"/>
      <c r="J88" s="10" t="s">
        <v>380</v>
      </c>
      <c r="K88" s="12" t="s"/>
      <c r="L88" s="10" t="s"/>
      <c r="M88" s="12" t="s"/>
      <c r="N88" s="12" t="s"/>
    </row>
    <row r="89" spans="1:14">
      <c r="A89" s="12">
        <v>88</v>
      </c>
      <c r="B89" s="12" t="s">
        <v>381</v>
      </c>
      <c r="C89" s="10" t="s"/>
      <c r="D89" s="10" t="s">
        <v>382</v>
      </c>
      <c r="E89" s="12" t="s">
        <v>30</v>
      </c>
      <c r="F89" s="12" t="s">
        <v>31</v>
      </c>
      <c r="G89" s="10" t="s">
        <v>69</v>
      </c>
      <c r="H89" s="10" t="s"/>
      <c r="I89" s="10" t="s">
        <v>383</v>
      </c>
      <c r="J89" s="10" t="s">
        <v>384</v>
      </c>
      <c r="K89" s="12" t="s"/>
      <c r="L89" s="10" t="s"/>
      <c r="M89" s="12" t="s"/>
      <c r="N89" s="12" t="s"/>
    </row>
    <row r="90" spans="1:14">
      <c r="A90" s="12">
        <v>89</v>
      </c>
      <c r="B90" s="12" t="s">
        <v>385</v>
      </c>
      <c r="C90" s="10" t="s"/>
      <c r="D90" s="10" t="s">
        <v>386</v>
      </c>
      <c r="E90" s="12" t="s">
        <v>30</v>
      </c>
      <c r="F90" s="12" t="s">
        <v>84</v>
      </c>
      <c r="G90" s="10" t="s"/>
      <c r="H90" s="10" t="s"/>
      <c r="I90" s="10" t="s">
        <v>387</v>
      </c>
      <c r="J90" s="10" t="s">
        <v>388</v>
      </c>
      <c r="K90" s="12" t="s"/>
      <c r="L90" s="10" t="s"/>
      <c r="M90" s="12" t="s"/>
      <c r="N90" s="12" t="s"/>
    </row>
    <row r="91" spans="1:14">
      <c r="A91" s="12">
        <v>90</v>
      </c>
      <c r="B91" s="12" t="s">
        <v>389</v>
      </c>
      <c r="C91" s="10" t="s"/>
      <c r="D91" s="10" t="s">
        <v>390</v>
      </c>
      <c r="E91" s="12" t="s">
        <v>41</v>
      </c>
      <c r="F91" s="12" t="s">
        <v>84</v>
      </c>
      <c r="G91" s="10" t="s"/>
      <c r="H91" s="10" t="s"/>
      <c r="I91" s="10" t="s">
        <v>391</v>
      </c>
      <c r="J91" s="10" t="s">
        <v>392</v>
      </c>
      <c r="K91" s="12" t="s"/>
      <c r="L91" s="10" t="s"/>
      <c r="M91" s="12" t="s"/>
      <c r="N91" s="12" t="s"/>
    </row>
    <row r="92" spans="1:14">
      <c r="A92" s="12">
        <v>91</v>
      </c>
      <c r="B92" s="12" t="s">
        <v>393</v>
      </c>
      <c r="C92" s="10" t="s"/>
      <c r="D92" s="10" t="s">
        <v>394</v>
      </c>
      <c r="E92" s="12" t="s">
        <v>41</v>
      </c>
      <c r="F92" s="12" t="s">
        <v>84</v>
      </c>
      <c r="G92" s="10" t="s"/>
      <c r="H92" s="10" t="s"/>
      <c r="I92" s="10" t="s">
        <v>395</v>
      </c>
      <c r="J92" s="10" t="s">
        <v>396</v>
      </c>
      <c r="K92" s="12" t="s"/>
      <c r="L92" s="10" t="s"/>
      <c r="M92" s="12" t="s"/>
      <c r="N92" s="12" t="s"/>
    </row>
    <row r="93" spans="1:14">
      <c r="A93" s="12">
        <v>92</v>
      </c>
      <c r="B93" s="12" t="s">
        <v>397</v>
      </c>
      <c r="C93" s="10" t="s"/>
      <c r="D93" s="10" t="s">
        <v>398</v>
      </c>
      <c r="E93" s="12" t="s">
        <v>41</v>
      </c>
      <c r="F93" s="12" t="s">
        <v>84</v>
      </c>
      <c r="G93" s="10" t="s"/>
      <c r="H93" s="10" t="s"/>
      <c r="I93" s="10" t="s">
        <v>399</v>
      </c>
      <c r="J93" s="10" t="s">
        <v>400</v>
      </c>
      <c r="K93" s="12" t="s"/>
      <c r="L93" s="10" t="s"/>
      <c r="M93" s="12" t="s"/>
      <c r="N93" s="12" t="s"/>
    </row>
    <row r="94" spans="1:14">
      <c r="A94" s="12">
        <v>93</v>
      </c>
      <c r="B94" s="12" t="s">
        <v>401</v>
      </c>
      <c r="C94" s="10" t="s"/>
      <c r="D94" s="10" t="s">
        <v>402</v>
      </c>
      <c r="E94" s="12" t="s">
        <v>41</v>
      </c>
      <c r="F94" s="12" t="s">
        <v>84</v>
      </c>
      <c r="G94" s="10" t="s"/>
      <c r="H94" s="10" t="s"/>
      <c r="I94" s="10" t="s">
        <v>403</v>
      </c>
      <c r="J94" s="10" t="s">
        <v>404</v>
      </c>
      <c r="K94" s="12" t="s"/>
      <c r="L94" s="10" t="s"/>
      <c r="M94" s="12" t="s"/>
      <c r="N94" s="12" t="s"/>
    </row>
    <row r="95" spans="1:14">
      <c r="A95" s="12">
        <v>94</v>
      </c>
      <c r="B95" s="12" t="s">
        <v>405</v>
      </c>
      <c r="C95" s="10" t="s"/>
      <c r="D95" s="10" t="s">
        <v>406</v>
      </c>
      <c r="E95" s="12" t="s">
        <v>30</v>
      </c>
      <c r="F95" s="12" t="s">
        <v>84</v>
      </c>
      <c r="G95" s="10" t="s"/>
      <c r="H95" s="10" t="s"/>
      <c r="I95" s="10" t="s">
        <v>407</v>
      </c>
      <c r="J95" s="10" t="s">
        <v>408</v>
      </c>
      <c r="K95" s="12" t="s"/>
      <c r="L95" s="10" t="s"/>
      <c r="M95" s="12" t="s"/>
      <c r="N95" s="12" t="s"/>
    </row>
    <row r="96" spans="1:14">
      <c r="A96" s="12">
        <v>95</v>
      </c>
      <c r="B96" s="12" t="s">
        <v>409</v>
      </c>
      <c r="C96" s="10" t="s"/>
      <c r="D96" s="10" t="s">
        <v>410</v>
      </c>
      <c r="E96" s="12" t="s">
        <v>41</v>
      </c>
      <c r="F96" s="12" t="s">
        <v>84</v>
      </c>
      <c r="G96" s="10" t="s"/>
      <c r="H96" s="10" t="s"/>
      <c r="I96" s="10" t="s">
        <v>411</v>
      </c>
      <c r="J96" s="10" t="s">
        <v>412</v>
      </c>
      <c r="K96" s="12" t="s"/>
      <c r="L96" s="10" t="s"/>
      <c r="M96" s="12" t="s"/>
      <c r="N96" s="12" t="s"/>
    </row>
    <row r="97" spans="1:14">
      <c r="A97" s="12">
        <v>96</v>
      </c>
      <c r="B97" s="12" t="s">
        <v>413</v>
      </c>
      <c r="C97" s="10" t="s"/>
      <c r="D97" s="10" t="s">
        <v>414</v>
      </c>
      <c r="E97" s="12" t="s">
        <v>105</v>
      </c>
      <c r="F97" s="12" t="s">
        <v>415</v>
      </c>
      <c r="G97" s="10" t="s"/>
      <c r="H97" s="10" t="s"/>
      <c r="I97" s="10" t="s"/>
      <c r="J97" s="10" t="s">
        <v>416</v>
      </c>
      <c r="K97" s="12" t="s"/>
      <c r="L97" s="10" t="s"/>
      <c r="M97" s="12" t="s"/>
      <c r="N97" s="12" t="s"/>
    </row>
    <row r="98" spans="1:14">
      <c r="A98" s="12">
        <v>97</v>
      </c>
      <c r="B98" s="12" t="s">
        <v>417</v>
      </c>
      <c r="C98" s="10" t="s"/>
      <c r="D98" s="10" t="s">
        <v>418</v>
      </c>
      <c r="E98" s="12" t="s">
        <v>41</v>
      </c>
      <c r="F98" s="12" t="s">
        <v>84</v>
      </c>
      <c r="G98" s="10" t="s"/>
      <c r="H98" s="10" t="s"/>
      <c r="I98" s="10" t="s">
        <v>419</v>
      </c>
      <c r="J98" s="10" t="s">
        <v>420</v>
      </c>
      <c r="K98" s="12" t="s"/>
      <c r="L98" s="10" t="s"/>
      <c r="M98" s="12" t="s"/>
      <c r="N98" s="12" t="s"/>
    </row>
    <row r="99" spans="1:14">
      <c r="A99" s="12">
        <v>98</v>
      </c>
      <c r="B99" s="12" t="s">
        <v>421</v>
      </c>
      <c r="C99" s="10" t="s"/>
      <c r="D99" s="10" t="s">
        <v>422</v>
      </c>
      <c r="E99" s="12" t="s">
        <v>41</v>
      </c>
      <c r="F99" s="12" t="s">
        <v>84</v>
      </c>
      <c r="G99" s="10" t="s"/>
      <c r="H99" s="10" t="s"/>
      <c r="I99" s="10" t="s">
        <v>423</v>
      </c>
      <c r="J99" s="10" t="s">
        <v>424</v>
      </c>
      <c r="K99" s="12" t="s"/>
      <c r="L99" s="10" t="s"/>
      <c r="M99" s="12" t="s"/>
      <c r="N99" s="12" t="s"/>
    </row>
    <row r="100" spans="1:14">
      <c r="A100" s="12">
        <v>99</v>
      </c>
      <c r="B100" s="12" t="s">
        <v>425</v>
      </c>
      <c r="C100" s="10" t="s"/>
      <c r="D100" s="10" t="s">
        <v>426</v>
      </c>
      <c r="E100" s="12" t="s">
        <v>41</v>
      </c>
      <c r="F100" s="12" t="s">
        <v>84</v>
      </c>
      <c r="G100" s="10" t="s"/>
      <c r="H100" s="10" t="s"/>
      <c r="I100" s="10" t="s">
        <v>427</v>
      </c>
      <c r="J100" s="10" t="s">
        <v>428</v>
      </c>
      <c r="K100" s="12" t="s"/>
      <c r="L100" s="10" t="s"/>
      <c r="M100" s="12" t="s"/>
      <c r="N100" s="12" t="s"/>
    </row>
    <row r="101" spans="1:14">
      <c r="A101" s="12">
        <v>100</v>
      </c>
      <c r="B101" s="12" t="s">
        <v>429</v>
      </c>
      <c r="C101" s="10" t="s"/>
      <c r="D101" s="10" t="s">
        <v>430</v>
      </c>
      <c r="E101" s="12" t="s">
        <v>41</v>
      </c>
      <c r="F101" s="12" t="s">
        <v>84</v>
      </c>
      <c r="G101" s="10" t="s"/>
      <c r="H101" s="10" t="s"/>
      <c r="I101" s="10" t="s">
        <v>431</v>
      </c>
      <c r="J101" s="10" t="s">
        <v>432</v>
      </c>
      <c r="K101" s="12" t="s"/>
      <c r="L101" s="10" t="s"/>
      <c r="M101" s="12" t="s"/>
      <c r="N101" s="12" t="s"/>
    </row>
    <row r="102" spans="1:14">
      <c r="A102" s="12">
        <v>101</v>
      </c>
      <c r="B102" s="12" t="s">
        <v>433</v>
      </c>
      <c r="C102" s="10" t="s"/>
      <c r="D102" s="10" t="s">
        <v>434</v>
      </c>
      <c r="E102" s="12" t="s">
        <v>41</v>
      </c>
      <c r="F102" s="12" t="s">
        <v>84</v>
      </c>
      <c r="G102" s="10" t="s"/>
      <c r="H102" s="10" t="s"/>
      <c r="I102" s="10" t="s">
        <v>435</v>
      </c>
      <c r="J102" s="10" t="s">
        <v>436</v>
      </c>
      <c r="K102" s="12" t="s"/>
      <c r="L102" s="10" t="s"/>
      <c r="M102" s="12" t="s"/>
      <c r="N102" s="12" t="s"/>
    </row>
    <row r="103" spans="1:14">
      <c r="A103" s="12">
        <v>102</v>
      </c>
      <c r="B103" s="12" t="s">
        <v>437</v>
      </c>
      <c r="C103" s="10" t="s"/>
      <c r="D103" s="10" t="s">
        <v>438</v>
      </c>
      <c r="E103" s="12" t="s">
        <v>105</v>
      </c>
      <c r="F103" s="12" t="s">
        <v>84</v>
      </c>
      <c r="G103" s="10" t="s"/>
      <c r="H103" s="10" t="s"/>
      <c r="I103" s="10" t="s">
        <v>439</v>
      </c>
      <c r="J103" s="10" t="s">
        <v>440</v>
      </c>
      <c r="K103" s="12" t="s"/>
      <c r="L103" s="10" t="s"/>
      <c r="M103" s="12" t="s"/>
      <c r="N103" s="12" t="s"/>
    </row>
    <row r="104" spans="1:14">
      <c r="A104" s="12">
        <v>103</v>
      </c>
      <c r="B104" s="12" t="s">
        <v>441</v>
      </c>
      <c r="C104" s="10" t="s"/>
      <c r="D104" s="10" t="s">
        <v>371</v>
      </c>
      <c r="E104" s="12" t="s">
        <v>41</v>
      </c>
      <c r="F104" s="12" t="s">
        <v>84</v>
      </c>
      <c r="G104" s="10" t="s"/>
      <c r="H104" s="10" t="s"/>
      <c r="I104" s="10" t="s">
        <v>372</v>
      </c>
      <c r="J104" s="10" t="s">
        <v>442</v>
      </c>
      <c r="K104" s="12" t="s"/>
      <c r="L104" s="10" t="s"/>
      <c r="M104" s="12" t="s"/>
      <c r="N104" s="12" t="s"/>
    </row>
    <row r="105" spans="1:14">
      <c r="A105" s="12">
        <v>104</v>
      </c>
      <c r="B105" s="12" t="s">
        <v>443</v>
      </c>
      <c r="C105" s="10" t="s"/>
      <c r="D105" s="10" t="s">
        <v>444</v>
      </c>
      <c r="E105" s="12" t="s">
        <v>30</v>
      </c>
      <c r="F105" s="12" t="s">
        <v>31</v>
      </c>
      <c r="G105" s="10" t="s"/>
      <c r="H105" s="10" t="s"/>
      <c r="I105" s="10" t="s"/>
      <c r="J105" s="10" t="s">
        <v>445</v>
      </c>
      <c r="K105" s="12" t="s"/>
      <c r="L105" s="10" t="s"/>
      <c r="M105" s="12" t="s"/>
      <c r="N105" s="12" t="s"/>
    </row>
    <row r="106" spans="1:14">
      <c r="A106" s="12">
        <v>105</v>
      </c>
      <c r="B106" s="12" t="s">
        <v>446</v>
      </c>
      <c r="C106" s="10" t="s"/>
      <c r="D106" s="10" t="s">
        <v>447</v>
      </c>
      <c r="E106" s="12" t="s">
        <v>30</v>
      </c>
      <c r="F106" s="12" t="s">
        <v>31</v>
      </c>
      <c r="G106" s="10" t="s"/>
      <c r="H106" s="10" t="s"/>
      <c r="I106" s="10" t="s">
        <v>448</v>
      </c>
      <c r="J106" s="10" t="s">
        <v>449</v>
      </c>
      <c r="K106" s="12" t="s"/>
      <c r="L106" s="10" t="s"/>
      <c r="M106" s="12" t="s"/>
      <c r="N106" s="12" t="s"/>
    </row>
    <row r="107" spans="1:14">
      <c r="A107" s="12">
        <v>106</v>
      </c>
      <c r="B107" s="12" t="s">
        <v>450</v>
      </c>
      <c r="C107" s="10" t="s"/>
      <c r="D107" s="10" t="s">
        <v>451</v>
      </c>
      <c r="E107" s="12" t="s">
        <v>41</v>
      </c>
      <c r="F107" s="12" t="s">
        <v>84</v>
      </c>
      <c r="G107" s="10" t="s"/>
      <c r="H107" s="10" t="s"/>
      <c r="I107" s="10" t="s">
        <v>452</v>
      </c>
      <c r="J107" s="10" t="s">
        <v>453</v>
      </c>
      <c r="K107" s="12" t="s"/>
      <c r="L107" s="10" t="s"/>
      <c r="M107" s="12" t="s"/>
      <c r="N107" s="12" t="s"/>
    </row>
    <row r="108" spans="1:14">
      <c r="A108" s="12">
        <v>107</v>
      </c>
      <c r="B108" s="12" t="s">
        <v>454</v>
      </c>
      <c r="C108" s="10" t="s"/>
      <c r="D108" s="10" t="s">
        <v>455</v>
      </c>
      <c r="E108" s="12" t="s">
        <v>41</v>
      </c>
      <c r="F108" s="12" t="s">
        <v>84</v>
      </c>
      <c r="G108" s="10" t="s"/>
      <c r="H108" s="10" t="s"/>
      <c r="I108" s="10" t="s">
        <v>456</v>
      </c>
      <c r="J108" s="10" t="s">
        <v>457</v>
      </c>
      <c r="K108" s="12" t="s"/>
      <c r="L108" s="10" t="s"/>
      <c r="M108" s="12" t="s"/>
      <c r="N108" s="12" t="s"/>
    </row>
    <row r="109" spans="1:14">
      <c r="A109" s="12">
        <v>108</v>
      </c>
      <c r="B109" s="12" t="s">
        <v>458</v>
      </c>
      <c r="C109" s="10" t="s"/>
      <c r="D109" s="10" t="s">
        <v>157</v>
      </c>
      <c r="E109" s="12" t="s">
        <v>41</v>
      </c>
      <c r="F109" s="12" t="s">
        <v>84</v>
      </c>
      <c r="G109" s="10" t="s"/>
      <c r="H109" s="10" t="s"/>
      <c r="I109" s="10" t="s">
        <v>158</v>
      </c>
      <c r="J109" s="10" t="s">
        <v>459</v>
      </c>
      <c r="K109" s="12" t="s"/>
      <c r="L109" s="10" t="s"/>
      <c r="M109" s="12" t="s"/>
      <c r="N109" s="12" t="s"/>
    </row>
    <row r="110" spans="1:14">
      <c r="A110" s="12">
        <v>109</v>
      </c>
      <c r="B110" s="12" t="s">
        <v>460</v>
      </c>
      <c r="C110" s="10" t="s"/>
      <c r="D110" s="10" t="s">
        <v>461</v>
      </c>
      <c r="E110" s="12" t="s">
        <v>105</v>
      </c>
      <c r="F110" s="12" t="s">
        <v>84</v>
      </c>
      <c r="G110" s="10" t="s"/>
      <c r="H110" s="10" t="s"/>
      <c r="I110" s="10" t="s">
        <v>162</v>
      </c>
      <c r="J110" s="10" t="s">
        <v>462</v>
      </c>
      <c r="K110" s="12" t="s"/>
      <c r="L110" s="10" t="s"/>
      <c r="M110" s="12" t="s"/>
      <c r="N110" s="12" t="s"/>
    </row>
    <row r="111" spans="1:14">
      <c r="A111" s="12">
        <v>110</v>
      </c>
      <c r="B111" s="12" t="s">
        <v>463</v>
      </c>
      <c r="C111" s="10" t="s"/>
      <c r="D111" s="10" t="s">
        <v>464</v>
      </c>
      <c r="E111" s="12" t="s">
        <v>41</v>
      </c>
      <c r="F111" s="12" t="s">
        <v>84</v>
      </c>
      <c r="G111" s="10" t="s"/>
      <c r="H111" s="10" t="s"/>
      <c r="I111" s="10" t="s">
        <v>368</v>
      </c>
      <c r="J111" s="10" t="s">
        <v>465</v>
      </c>
      <c r="K111" s="12" t="s"/>
      <c r="L111" s="10" t="s"/>
      <c r="M111" s="12" t="s"/>
      <c r="N111" s="12" t="s"/>
    </row>
    <row r="112" spans="1:14">
      <c r="A112" s="12">
        <v>111</v>
      </c>
      <c r="B112" s="12" t="s">
        <v>466</v>
      </c>
      <c r="C112" s="10" t="s"/>
      <c r="D112" s="10" t="s">
        <v>467</v>
      </c>
      <c r="E112" s="12" t="s">
        <v>41</v>
      </c>
      <c r="F112" s="12" t="s">
        <v>84</v>
      </c>
      <c r="G112" s="10" t="s"/>
      <c r="H112" s="10" t="s"/>
      <c r="I112" s="10" t="s">
        <v>468</v>
      </c>
      <c r="J112" s="10" t="s">
        <v>469</v>
      </c>
      <c r="K112" s="12" t="s"/>
      <c r="L112" s="10" t="s"/>
      <c r="M112" s="12" t="s"/>
      <c r="N112" s="12" t="s"/>
    </row>
    <row r="113" spans="1:14">
      <c r="A113" s="12">
        <v>112</v>
      </c>
      <c r="B113" s="12" t="s">
        <v>470</v>
      </c>
      <c r="C113" s="10" t="s"/>
      <c r="D113" s="10" t="s">
        <v>471</v>
      </c>
      <c r="E113" s="12" t="s">
        <v>41</v>
      </c>
      <c r="F113" s="12" t="s">
        <v>84</v>
      </c>
      <c r="G113" s="10" t="s"/>
      <c r="H113" s="10" t="s"/>
      <c r="I113" s="10" t="s">
        <v>472</v>
      </c>
      <c r="J113" s="10" t="s">
        <v>473</v>
      </c>
      <c r="K113" s="12" t="s"/>
      <c r="L113" s="10" t="s"/>
      <c r="M113" s="12" t="s"/>
      <c r="N113" s="12" t="s"/>
    </row>
    <row r="114" spans="1:14">
      <c r="A114" s="12">
        <v>113</v>
      </c>
      <c r="B114" s="12" t="s">
        <v>474</v>
      </c>
      <c r="C114" s="10" t="s"/>
      <c r="D114" s="10" t="s">
        <v>475</v>
      </c>
      <c r="E114" s="12" t="s">
        <v>105</v>
      </c>
      <c r="F114" s="12" t="s">
        <v>84</v>
      </c>
      <c r="G114" s="10" t="s"/>
      <c r="H114" s="10" t="s"/>
      <c r="I114" s="10" t="s">
        <v>476</v>
      </c>
      <c r="J114" s="10" t="s">
        <v>477</v>
      </c>
      <c r="K114" s="12" t="s"/>
      <c r="L114" s="10" t="s"/>
      <c r="M114" s="12" t="s"/>
      <c r="N114" s="12" t="s"/>
    </row>
    <row r="115" spans="1:14">
      <c r="A115" s="12">
        <v>114</v>
      </c>
      <c r="B115" s="12" t="s">
        <v>478</v>
      </c>
      <c r="C115" s="10" t="s"/>
      <c r="D115" s="10" t="s">
        <v>479</v>
      </c>
      <c r="E115" s="12" t="s">
        <v>41</v>
      </c>
      <c r="F115" s="12" t="s">
        <v>84</v>
      </c>
      <c r="G115" s="10" t="s"/>
      <c r="H115" s="10" t="s"/>
      <c r="I115" s="10" t="s">
        <v>480</v>
      </c>
      <c r="J115" s="10" t="s">
        <v>481</v>
      </c>
      <c r="K115" s="12" t="s"/>
      <c r="L115" s="10" t="s"/>
      <c r="M115" s="12" t="s"/>
      <c r="N115" s="12" t="s"/>
    </row>
    <row r="116" spans="1:14">
      <c r="A116" s="12">
        <v>115</v>
      </c>
      <c r="B116" s="12" t="s">
        <v>482</v>
      </c>
      <c r="C116" s="10" t="s"/>
      <c r="D116" s="10" t="s">
        <v>483</v>
      </c>
      <c r="E116" s="12" t="s">
        <v>41</v>
      </c>
      <c r="F116" s="12" t="s">
        <v>415</v>
      </c>
      <c r="G116" s="10" t="s"/>
      <c r="H116" s="10" t="s"/>
      <c r="I116" s="10" t="s"/>
      <c r="J116" s="10" t="s">
        <v>484</v>
      </c>
      <c r="K116" s="12" t="s"/>
      <c r="L116" s="10" t="s"/>
      <c r="M116" s="12" t="s"/>
      <c r="N116" s="12" t="s"/>
    </row>
    <row r="117" spans="1:14">
      <c r="A117" s="12">
        <v>116</v>
      </c>
      <c r="B117" s="12" t="s">
        <v>485</v>
      </c>
      <c r="C117" s="10" t="s"/>
      <c r="D117" s="10" t="s">
        <v>486</v>
      </c>
      <c r="E117" s="12" t="s">
        <v>41</v>
      </c>
      <c r="F117" s="12" t="s">
        <v>31</v>
      </c>
      <c r="G117" s="10" t="s"/>
      <c r="H117" s="10" t="s"/>
      <c r="I117" s="10" t="s">
        <v>487</v>
      </c>
      <c r="J117" s="10" t="s">
        <v>488</v>
      </c>
      <c r="K117" s="12" t="s"/>
      <c r="L117" s="10" t="s"/>
      <c r="M117" s="12" t="s"/>
      <c r="N117" s="12" t="s"/>
    </row>
    <row r="118" spans="1:14">
      <c r="A118" s="12">
        <v>117</v>
      </c>
      <c r="B118" s="12" t="s">
        <v>489</v>
      </c>
      <c r="C118" s="10" t="s"/>
      <c r="D118" s="10" t="s">
        <v>490</v>
      </c>
      <c r="E118" s="12" t="s">
        <v>41</v>
      </c>
      <c r="F118" s="12" t="s">
        <v>31</v>
      </c>
      <c r="G118" s="10" t="s"/>
      <c r="H118" s="10" t="s"/>
      <c r="I118" s="10" t="s"/>
      <c r="J118" s="10" t="s">
        <v>491</v>
      </c>
      <c r="K118" s="12" t="s"/>
      <c r="L118" s="10" t="s"/>
      <c r="M118" s="12" t="s"/>
      <c r="N118" s="12" t="s"/>
    </row>
    <row r="119" spans="1:14">
      <c r="A119" s="12">
        <v>118</v>
      </c>
      <c r="B119" s="12" t="s">
        <v>492</v>
      </c>
      <c r="C119" s="10" t="s"/>
      <c r="D119" s="10" t="s">
        <v>493</v>
      </c>
      <c r="E119" s="12" t="s">
        <v>41</v>
      </c>
      <c r="F119" s="12" t="s">
        <v>31</v>
      </c>
      <c r="G119" s="10" t="s"/>
      <c r="H119" s="10" t="s"/>
      <c r="I119" s="10" t="s"/>
      <c r="J119" s="10" t="s">
        <v>494</v>
      </c>
      <c r="K119" s="12" t="s"/>
      <c r="L119" s="10" t="s"/>
      <c r="M119" s="12" t="s"/>
      <c r="N119" s="12" t="s"/>
    </row>
    <row r="120" spans="1:14">
      <c r="A120" s="12">
        <v>119</v>
      </c>
      <c r="B120" s="12" t="s">
        <v>495</v>
      </c>
      <c r="C120" s="10" t="s"/>
      <c r="D120" s="10" t="s">
        <v>496</v>
      </c>
      <c r="E120" s="12" t="s"/>
      <c r="F120" s="12" t="s"/>
      <c r="G120" s="10" t="s"/>
      <c r="H120" s="10" t="s"/>
      <c r="I120" s="10" t="s"/>
      <c r="J120" s="10" t="s">
        <v>497</v>
      </c>
      <c r="K120" s="12" t="s"/>
      <c r="L120" s="10" t="s"/>
      <c r="M120" s="12" t="s"/>
      <c r="N120" s="12" t="s"/>
    </row>
    <row r="121" spans="1:14">
      <c r="A121" s="12">
        <v>120</v>
      </c>
      <c r="B121" s="12" t="s">
        <v>498</v>
      </c>
      <c r="C121" s="10" t="s"/>
      <c r="D121" s="10" t="s">
        <v>499</v>
      </c>
      <c r="E121" s="12" t="s"/>
      <c r="F121" s="12" t="s"/>
      <c r="G121" s="10" t="s"/>
      <c r="H121" s="10" t="s"/>
      <c r="I121" s="10" t="s">
        <v>500</v>
      </c>
      <c r="J121" s="10" t="s">
        <v>501</v>
      </c>
      <c r="K121" s="12" t="s"/>
      <c r="L121" s="10" t="s"/>
      <c r="M121" s="12" t="s"/>
      <c r="N121" s="12" t="s"/>
    </row>
    <row r="122" spans="1:14">
      <c r="A122" s="12">
        <v>121</v>
      </c>
      <c r="B122" s="12" t="s">
        <v>502</v>
      </c>
      <c r="C122" s="10" t="s"/>
      <c r="D122" s="10" t="s">
        <v>503</v>
      </c>
      <c r="E122" s="12" t="s"/>
      <c r="F122" s="12" t="s"/>
      <c r="G122" s="10" t="s"/>
      <c r="H122" s="10" t="s"/>
      <c r="I122" s="10" t="s">
        <v>504</v>
      </c>
      <c r="J122" s="10" t="s">
        <v>505</v>
      </c>
      <c r="K122" s="12" t="s"/>
      <c r="L122" s="10" t="s"/>
      <c r="M122" s="12" t="s"/>
      <c r="N122" s="12" t="s"/>
    </row>
    <row r="123" spans="1:14">
      <c r="A123" s="12">
        <v>122</v>
      </c>
      <c r="B123" s="12" t="s">
        <v>506</v>
      </c>
      <c r="C123" s="10" t="s"/>
      <c r="D123" s="10" t="s">
        <v>507</v>
      </c>
      <c r="E123" s="12" t="s"/>
      <c r="F123" s="12" t="s"/>
      <c r="G123" s="10" t="s"/>
      <c r="H123" s="10" t="s"/>
      <c r="I123" s="10" t="s">
        <v>508</v>
      </c>
      <c r="J123" s="10" t="s">
        <v>509</v>
      </c>
      <c r="K123" s="12" t="s"/>
      <c r="L123" s="10" t="s"/>
      <c r="M123" s="12" t="s"/>
      <c r="N123" s="12" t="s"/>
    </row>
    <row r="124" spans="1:14">
      <c r="A124" s="12">
        <v>123</v>
      </c>
      <c r="B124" s="12" t="s">
        <v>510</v>
      </c>
      <c r="C124" s="10" t="s"/>
      <c r="D124" s="10" t="s">
        <v>511</v>
      </c>
      <c r="E124" s="12" t="s">
        <v>41</v>
      </c>
      <c r="F124" s="12" t="s">
        <v>84</v>
      </c>
      <c r="G124" s="10" t="s"/>
      <c r="H124" s="10" t="s"/>
      <c r="I124" s="10" t="s">
        <v>512</v>
      </c>
      <c r="J124" s="10" t="s">
        <v>513</v>
      </c>
      <c r="K124" s="12" t="s"/>
      <c r="L124" s="10" t="s"/>
      <c r="M124" s="12" t="s"/>
      <c r="N124" s="12" t="s"/>
    </row>
    <row r="125" spans="1:14">
      <c r="A125" s="12">
        <v>124</v>
      </c>
      <c r="B125" s="12" t="s">
        <v>514</v>
      </c>
      <c r="C125" s="10" t="s"/>
      <c r="D125" s="10" t="s">
        <v>515</v>
      </c>
      <c r="E125" s="12" t="s">
        <v>41</v>
      </c>
      <c r="F125" s="12" t="s">
        <v>84</v>
      </c>
      <c r="G125" s="10" t="s">
        <v>516</v>
      </c>
      <c r="H125" s="10" t="s"/>
      <c r="I125" s="10" t="s">
        <v>517</v>
      </c>
      <c r="J125" s="10" t="s">
        <v>518</v>
      </c>
      <c r="K125" s="12" t="s"/>
      <c r="L125" s="10" t="s"/>
      <c r="M125" s="12" t="s"/>
      <c r="N125" s="12" t="s"/>
    </row>
    <row r="126" spans="1:14">
      <c r="A126" s="12">
        <v>125</v>
      </c>
      <c r="B126" s="12" t="s">
        <v>519</v>
      </c>
      <c r="C126" s="10" t="s"/>
      <c r="D126" s="10" t="s">
        <v>520</v>
      </c>
      <c r="E126" s="12" t="s">
        <v>41</v>
      </c>
      <c r="F126" s="12" t="s">
        <v>84</v>
      </c>
      <c r="G126" s="10" t="s">
        <v>516</v>
      </c>
      <c r="H126" s="10" t="s"/>
      <c r="I126" s="10" t="s">
        <v>521</v>
      </c>
      <c r="J126" s="10" t="s">
        <v>522</v>
      </c>
      <c r="K126" s="12" t="s"/>
      <c r="L126" s="10" t="s"/>
      <c r="M126" s="12" t="s"/>
      <c r="N126" s="12" t="s"/>
    </row>
    <row r="127" spans="1:14">
      <c r="A127" s="12">
        <v>126</v>
      </c>
      <c r="B127" s="12" t="s">
        <v>523</v>
      </c>
      <c r="C127" s="10" t="s"/>
      <c r="D127" s="10" t="s">
        <v>524</v>
      </c>
      <c r="E127" s="12" t="s">
        <v>41</v>
      </c>
      <c r="F127" s="12" t="s">
        <v>84</v>
      </c>
      <c r="G127" s="10" t="s">
        <v>525</v>
      </c>
      <c r="H127" s="10" t="s"/>
      <c r="I127" s="10" t="s">
        <v>526</v>
      </c>
      <c r="J127" s="10" t="s">
        <v>527</v>
      </c>
      <c r="K127" s="12" t="s"/>
      <c r="L127" s="10" t="s"/>
      <c r="M127" s="12" t="s"/>
      <c r="N127" s="12" t="s"/>
    </row>
    <row r="128" spans="1:14">
      <c r="A128" s="12">
        <v>127</v>
      </c>
      <c r="B128" s="12" t="s">
        <v>528</v>
      </c>
      <c r="C128" s="10" t="s"/>
      <c r="D128" s="10" t="s">
        <v>529</v>
      </c>
      <c r="E128" s="12" t="s">
        <v>41</v>
      </c>
      <c r="F128" s="12" t="s">
        <v>84</v>
      </c>
      <c r="G128" s="10" t="s">
        <v>530</v>
      </c>
      <c r="H128" s="10" t="s">
        <v>531</v>
      </c>
      <c r="I128" s="10" t="s">
        <v>532</v>
      </c>
      <c r="J128" s="10" t="s">
        <v>533</v>
      </c>
      <c r="K128" s="12" t="s"/>
      <c r="L128" s="10" t="s"/>
      <c r="M128" s="12" t="s"/>
      <c r="N128" s="12" t="s"/>
    </row>
    <row r="129" spans="1:14">
      <c r="A129" s="12">
        <v>128</v>
      </c>
      <c r="B129" s="12" t="s">
        <v>534</v>
      </c>
      <c r="C129" s="10" t="s"/>
      <c r="D129" s="10" t="s">
        <v>535</v>
      </c>
      <c r="E129" s="12" t="s">
        <v>41</v>
      </c>
      <c r="F129" s="12" t="s">
        <v>31</v>
      </c>
      <c r="G129" s="10" t="s">
        <v>120</v>
      </c>
      <c r="H129" s="10" t="s"/>
      <c r="I129" s="10" t="s">
        <v>536</v>
      </c>
      <c r="J129" s="10" t="s">
        <v>537</v>
      </c>
      <c r="K129" s="12" t="s"/>
      <c r="L129" s="10" t="s"/>
      <c r="M129" s="12" t="s"/>
      <c r="N129" s="12" t="s"/>
    </row>
    <row r="130" spans="1:14">
      <c r="A130" s="12">
        <v>129</v>
      </c>
      <c r="B130" s="12" t="s">
        <v>538</v>
      </c>
      <c r="C130" s="10" t="s"/>
      <c r="D130" s="10" t="s">
        <v>539</v>
      </c>
      <c r="E130" s="12" t="s">
        <v>105</v>
      </c>
      <c r="F130" s="12" t="s">
        <v>415</v>
      </c>
      <c r="G130" s="10" t="s"/>
      <c r="H130" s="10" t="s"/>
      <c r="I130" s="10" t="s">
        <v>540</v>
      </c>
      <c r="J130" s="10" t="s">
        <v>541</v>
      </c>
      <c r="K130" s="12" t="s"/>
      <c r="L130" s="10" t="s"/>
      <c r="M130" s="12" t="s"/>
      <c r="N130" s="12" t="s"/>
    </row>
    <row r="131" spans="1:14">
      <c r="A131" s="12">
        <v>130</v>
      </c>
      <c r="B131" s="12" t="s">
        <v>542</v>
      </c>
      <c r="C131" s="10" t="s"/>
      <c r="D131" s="10" t="s">
        <v>543</v>
      </c>
      <c r="E131" s="12" t="s">
        <v>105</v>
      </c>
      <c r="F131" s="12" t="s">
        <v>415</v>
      </c>
      <c r="G131" s="10" t="s"/>
      <c r="H131" s="10" t="s"/>
      <c r="I131" s="10" t="s">
        <v>544</v>
      </c>
      <c r="J131" s="10" t="s">
        <v>545</v>
      </c>
      <c r="K131" s="12" t="s"/>
      <c r="L131" s="10" t="s"/>
      <c r="M131" s="12" t="s"/>
      <c r="N131" s="12" t="s"/>
    </row>
  </sheetData>
  <autoFilter ref="A1:N131"/>
  <conditionalFormatting sqref="E2:E131">
    <cfRule type="cellIs" dxfId="0" priority="1" operator="equal">
      <formula>"P0"</formula>
      <formula>"P0"</formula>
    </cfRule>
  </conditionalFormatting>
  <conditionalFormatting sqref="E2:E131">
    <cfRule type="cellIs" dxfId="1" priority="2" operator="equal">
      <formula>"P1"</formula>
      <formula>"P1"</formula>
    </cfRule>
  </conditionalFormatting>
  <conditionalFormatting sqref="E2:E131">
    <cfRule type="cellIs" dxfId="2" priority="3" operator="equal">
      <formula>"P2"</formula>
      <formula>"P2"</formula>
    </cfRule>
  </conditionalFormatting>
  <conditionalFormatting sqref="K2:K131">
    <cfRule type="cellIs" dxfId="3" priority="4" operator="equal">
      <formula>"通过"</formula>
      <formula>"通过"</formula>
    </cfRule>
  </conditionalFormatting>
  <conditionalFormatting sqref="K2:K131">
    <cfRule type="cellIs" dxfId="0" priority="5" operator="equal">
      <formula>"失败"</formula>
      <formula>"失败"</formula>
    </cfRule>
  </conditionalFormatting>
  <conditionalFormatting sqref="K2:K131">
    <cfRule type="cellIs" dxfId="4" priority="6" operator="equal">
      <formula>"阻塞"</formula>
      <formula>"阻塞"</formula>
    </cfRule>
  </conditionalFormatting>
  <dataValidations>
    <dataValidation type="list" operator="between" allowBlank="1" showDropDown="0" showInputMessage="0" showErrorMessage="0" sqref="E2:E131">
      <formula1>"P0,P1,P2"</formula1>
    </dataValidation>
    <dataValidation type="list" operator="between" allowBlank="1" showDropDown="0" showInputMessage="0" showErrorMessage="0" sqref="F2:F131">
      <formula1>"UI,API,E2E,ERR"</formula1>
    </dataValidation>
    <dataValidation type="list" operator="between" allowBlank="1" showDropDown="0" showInputMessage="0" showErrorMessage="0" sqref="K2:K131">
      <formula1>"通过,失败,阻塞,未执行"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"/>
  <sheetViews>
    <sheetView showGridLines="1" workbookViewId="0"/>
  </sheetViews>
  <sheetFormatPr baseColWidth="8" defaultRowHeight="15"/>
  <cols>
    <col min="1" max="1" width="120" customWidth="1"/>
  </cols>
  <sheetData>
    <row r="1" spans="1:1" ht="24" customHeight="1">
      <c r="A1" s="13" t="s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2026-09-12T21:50:40Z</dcterms:created>
  <dcterms:modified xsi:type="dcterms:W3CDTF">2026-09-12T21:50:40Z</dcterms:modified>
</cp:coreProperties>
</file>